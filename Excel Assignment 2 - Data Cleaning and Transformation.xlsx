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imesgrouponline-my.sharepoint.com/personal/iimkstudio2_timesgroup_com/Documents/Desktop/Personal/Entri/Entri/Assignments/"/>
    </mc:Choice>
  </mc:AlternateContent>
  <xr:revisionPtr revIDLastSave="14" documentId="8_{8D9AE759-9C85-42B1-B18D-236D345B38F3}" xr6:coauthVersionLast="47" xr6:coauthVersionMax="47" xr10:uidLastSave="{910309BC-5A88-4EF0-A3A9-1270354CE429}"/>
  <bookViews>
    <workbookView xWindow="28680" yWindow="-120" windowWidth="29040" windowHeight="15720" activeTab="7" xr2:uid="{00000000-000D-0000-FFFF-FFFF00000000}"/>
  </bookViews>
  <sheets>
    <sheet name="Instructions" sheetId="1" r:id="rId1"/>
    <sheet name="Dataset" sheetId="2" r:id="rId2"/>
    <sheet name="Q1" sheetId="3" r:id="rId3"/>
    <sheet name="Q2" sheetId="10" r:id="rId4"/>
    <sheet name="Q3" sheetId="11" r:id="rId5"/>
    <sheet name="Q4" sheetId="12" r:id="rId6"/>
    <sheet name="Q5" sheetId="13" r:id="rId7"/>
    <sheet name="Q6" sheetId="14" r:id="rId8"/>
  </sheets>
  <definedNames>
    <definedName name="_xlnm._FilterDatabase" localSheetId="2" hidden="1">'Q1'!$A$1:$F$35</definedName>
    <definedName name="_xlnm._FilterDatabase" localSheetId="3" hidden="1">'Q2'!$A$1:$F$35</definedName>
    <definedName name="_xlnm._FilterDatabase" localSheetId="4" hidden="1">'Q3'!$A$1:$F$35</definedName>
    <definedName name="_xlnm._FilterDatabase" localSheetId="5" hidden="1">'Q4'!$A$1:$F$35</definedName>
    <definedName name="_xlnm._FilterDatabase" localSheetId="6" hidden="1">'Q5'!$A$1:$F$35</definedName>
    <definedName name="_xlnm._FilterDatabase" localSheetId="7" hidden="1">'Q6'!$A$1:$F$35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IR6213FxEpgZ/k1UDjxyMHI45/G9Bc960XOAAH4UN4="/>
    </ext>
  </extLst>
</workbook>
</file>

<file path=xl/calcChain.xml><?xml version="1.0" encoding="utf-8"?>
<calcChain xmlns="http://schemas.openxmlformats.org/spreadsheetml/2006/main">
  <c r="H3" i="13" l="1"/>
  <c r="H4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2" i="13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2" i="12"/>
  <c r="G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2" i="10"/>
</calcChain>
</file>

<file path=xl/sharedStrings.xml><?xml version="1.0" encoding="utf-8"?>
<sst xmlns="http://schemas.openxmlformats.org/spreadsheetml/2006/main" count="1120" uniqueCount="155">
  <si>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</si>
  <si>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</si>
  <si>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</si>
  <si>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</si>
  <si>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</si>
  <si>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</si>
  <si>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</si>
  <si>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</si>
  <si>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</si>
  <si>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</si>
  <si>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</si>
  <si>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</si>
  <si>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</si>
  <si>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</si>
  <si>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</si>
  <si>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</si>
  <si>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</si>
  <si>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</si>
  <si>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</si>
  <si>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</si>
  <si>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</si>
  <si>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</si>
  <si>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</si>
  <si>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</si>
  <si>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</si>
  <si>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</si>
  <si>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</si>
  <si>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</si>
  <si>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</si>
  <si>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</si>
  <si>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</si>
  <si>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</si>
  <si>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</si>
  <si>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</si>
  <si>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</si>
  <si>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</si>
  <si>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</si>
  <si>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</si>
  <si>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</si>
  <si>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</si>
  <si>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</si>
  <si>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</si>
  <si>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</si>
  <si>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</si>
  <si>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</si>
  <si>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</si>
  <si>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</si>
  <si>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</si>
  <si>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</si>
  <si>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</si>
  <si>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</si>
  <si>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</si>
  <si>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</si>
  <si>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</si>
  <si>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</si>
  <si>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</si>
  <si>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</si>
  <si>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</si>
  <si>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</si>
  <si>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</si>
  <si>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</si>
  <si>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</si>
  <si>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</si>
  <si>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</si>
  <si>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</si>
  <si>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</si>
  <si>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</si>
  <si>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</si>
  <si>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</si>
  <si>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</si>
  <si>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</si>
  <si>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</si>
  <si>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</si>
  <si>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</si>
  <si>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</si>
  <si>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</si>
  <si>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</si>
  <si>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</si>
  <si>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</si>
  <si>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</si>
  <si>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</si>
  <si>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</si>
  <si>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</si>
  <si>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</si>
  <si>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</si>
  <si>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</si>
  <si>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</si>
  <si>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</si>
  <si>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</si>
  <si>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</si>
  <si>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</si>
  <si>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</si>
  <si>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</si>
  <si>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</si>
  <si>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</si>
  <si>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</si>
  <si>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</si>
  <si>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</si>
  <si>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</si>
  <si>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</si>
  <si>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</si>
  <si>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</si>
  <si>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</si>
  <si>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</si>
  <si>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</si>
  <si>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</si>
  <si>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</si>
  <si>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</si>
  <si>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</si>
  <si>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</si>
  <si>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</si>
  <si>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</si>
  <si>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</si>
  <si>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</si>
  <si>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</si>
  <si>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</si>
  <si>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No Value</t>
  </si>
  <si>
    <t>T-Shirt</t>
  </si>
  <si>
    <t>Standardize Product Name</t>
  </si>
  <si>
    <t xml:space="preserve">Standardizing Product name using "Proper" Function </t>
  </si>
  <si>
    <t>Corrected Typos in Category</t>
  </si>
  <si>
    <t>Manufacturing Date</t>
  </si>
  <si>
    <t>Country Code</t>
  </si>
  <si>
    <t>Product Brand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</si>
  <si>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</si>
  <si>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</si>
  <si>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</si>
  <si>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</si>
  <si>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</si>
  <si>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</si>
  <si>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</si>
  <si>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</si>
  <si>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</si>
  <si>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</si>
  <si>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</si>
  <si>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</si>
  <si>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</si>
  <si>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</si>
  <si>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</si>
  <si>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</si>
  <si>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</si>
  <si>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</si>
  <si>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</si>
  <si>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</si>
  <si>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</si>
  <si>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</si>
  <si>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</si>
  <si>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</si>
  <si>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</si>
  <si>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</si>
  <si>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</si>
  <si>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</si>
  <si>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</si>
  <si>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</si>
  <si>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Removed Duplicates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</si>
</sst>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-14009]dd/mm/yyyy;@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E0F7FA"/>
      </patternFill>
    </fill>
    <fill>
      <patternFill patternType="solid">
        <fgColor theme="4" tint="0.79998168889431442"/>
        <bgColor rgb="FF4DD0E1"/>
      </patternFill>
    </fill>
    <fill>
      <patternFill patternType="solid">
        <fgColor theme="5" tint="0.39997558519241921"/>
        <bgColor rgb="FFE0F7FA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E0F7FA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5" fillId="5" borderId="0" xfId="0" applyFont="1" applyFill="1"/>
    <xf numFmtId="0" fontId="5" fillId="4" borderId="0" xfId="0" applyFont="1" applyFill="1"/>
    <xf numFmtId="49" fontId="5" fillId="0" borderId="0" xfId="0" applyNumberFormat="1" applyFont="1"/>
    <xf numFmtId="49" fontId="5" fillId="3" borderId="0" xfId="0" applyNumberFormat="1" applyFont="1" applyFill="1"/>
    <xf numFmtId="0" fontId="0" fillId="0" borderId="0" xfId="0" applyAlignment="1">
      <alignment horizontal="center"/>
    </xf>
    <xf numFmtId="0" fontId="5" fillId="7" borderId="0" xfId="0" applyFont="1" applyFill="1"/>
    <xf numFmtId="0" fontId="5" fillId="8" borderId="0" xfId="0" applyFont="1" applyFill="1"/>
    <xf numFmtId="0" fontId="7" fillId="6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5" fillId="9" borderId="0" xfId="0" applyFont="1" applyFill="1"/>
    <xf numFmtId="49" fontId="5" fillId="9" borderId="0" xfId="0" applyNumberFormat="1" applyFont="1" applyFill="1"/>
    <xf numFmtId="0" fontId="5" fillId="10" borderId="0" xfId="0" applyFont="1" applyFill="1"/>
    <xf numFmtId="49" fontId="5" fillId="10" borderId="0" xfId="0" applyNumberFormat="1" applyFont="1" applyFill="1"/>
    <xf numFmtId="0" fontId="9" fillId="11" borderId="0" xfId="0" applyFont="1" applyFill="1" applyAlignment="1">
      <alignment horizontal="center" vertical="center"/>
    </xf>
    <xf numFmtId="0" fontId="0" fillId="0" borderId="1" xfId="0" applyBorder="1"/>
    <xf numFmtId="0" fontId="5" fillId="0" borderId="1" xfId="0" applyFont="1" applyBorder="1"/>
    <xf numFmtId="49" fontId="5" fillId="0" borderId="1" xfId="0" applyNumberFormat="1" applyFont="1" applyBorder="1"/>
    <xf numFmtId="0" fontId="5" fillId="3" borderId="1" xfId="0" applyFont="1" applyFill="1" applyBorder="1"/>
    <xf numFmtId="49" fontId="5" fillId="3" borderId="1" xfId="0" applyNumberFormat="1" applyFont="1" applyFill="1" applyBorder="1"/>
    <xf numFmtId="164" fontId="5" fillId="0" borderId="1" xfId="0" applyNumberFormat="1" applyFont="1" applyBorder="1"/>
    <xf numFmtId="164" fontId="5" fillId="3" borderId="1" xfId="0" applyNumberFormat="1" applyFont="1" applyFill="1" applyBorder="1"/>
    <xf numFmtId="165" fontId="8" fillId="0" borderId="1" xfId="0" applyNumberFormat="1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8" fillId="0" borderId="0" xfId="0" applyNumberFormat="1" applyFont="1"/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9" fillId="11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1000"/>
  <sheetViews>
    <sheetView showGridLines="0" topLeftCell="B1" workbookViewId="0">
      <selection activeCell="J28" sqref="J28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P1000"/>
  <sheetViews>
    <sheetView topLeftCell="A3" workbookViewId="0">
      <selection activeCell="B2" sqref="B2:B3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158E-0464-4EA0-B01F-093501050EC6}">
  <sheetPr codeName="Sheet3">
    <outlinePr summaryBelow="0" summaryRight="0"/>
  </sheetPr>
  <dimension ref="A1:S1000"/>
  <sheetViews>
    <sheetView zoomScaleNormal="100" workbookViewId="0">
      <selection activeCell="D41" sqref="D41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H1" t="s">
        <v>1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I2" t="s">
        <v>2</v>
      </c>
      <c r="J2" s="2"/>
    </row>
    <row r="3" spans="1:16" ht="15.75" customHeight="1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t="s">
        <v>3</v>
      </c>
      <c r="J3" s="5"/>
      <c r="O3" s="5"/>
      <c r="P3" s="5"/>
    </row>
    <row r="4" spans="1:16" ht="15.75" customHeight="1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10" t="s">
        <v>116</v>
      </c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9">
        <v>0</v>
      </c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9" t="s">
        <v>116</v>
      </c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10" t="s">
        <v>116</v>
      </c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19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19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19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19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O20" s="5"/>
      <c r="P20" s="5"/>
      <c r="Q20" s="5"/>
      <c r="R20" s="5"/>
      <c r="S20" s="5"/>
    </row>
    <row r="21" spans="1:19" ht="15.75" customHeight="1" x14ac:dyDescent="0.25">
      <c r="A21" s="8" t="s">
        <v>83</v>
      </c>
      <c r="B21" s="8" t="s">
        <v>84</v>
      </c>
      <c r="C21" s="8" t="s">
        <v>85</v>
      </c>
      <c r="D21" s="9">
        <v>0</v>
      </c>
      <c r="E21" s="8">
        <v>10</v>
      </c>
      <c r="F21" s="8" t="s">
        <v>59</v>
      </c>
      <c r="O21" s="3"/>
      <c r="P21" s="5"/>
      <c r="Q21" s="5"/>
      <c r="R21" s="5"/>
      <c r="S21" s="5"/>
    </row>
    <row r="22" spans="1:19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19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19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10" t="s">
        <v>116</v>
      </c>
    </row>
    <row r="25" spans="1:19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19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19" ht="15.75" customHeight="1" x14ac:dyDescent="0.2">
      <c r="A27" s="8" t="s">
        <v>98</v>
      </c>
      <c r="B27" s="8" t="s">
        <v>81</v>
      </c>
      <c r="C27" s="8" t="s">
        <v>99</v>
      </c>
      <c r="D27" s="9">
        <v>0</v>
      </c>
      <c r="E27" s="8">
        <v>25</v>
      </c>
      <c r="F27" s="8" t="s">
        <v>32</v>
      </c>
    </row>
    <row r="28" spans="1:19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19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19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19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19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F35" xr:uid="{7DEC158E-0464-4EA0-B01F-093501050EC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B797-B4F7-4797-B8E0-053F0128A42D}">
  <sheetPr codeName="Sheet4">
    <outlinePr summaryBelow="0" summaryRight="0"/>
  </sheetPr>
  <dimension ref="A1:R1000"/>
  <sheetViews>
    <sheetView zoomScaleNormal="100" workbookViewId="0">
      <selection activeCell="H2" sqref="H2"/>
    </sheetView>
  </sheetViews>
  <sheetFormatPr defaultColWidth="12.5703125" defaultRowHeight="15" customHeight="1" x14ac:dyDescent="0.2"/>
  <cols>
    <col min="1" max="1" width="12.5703125" customWidth="1"/>
    <col min="2" max="2" width="14" bestFit="1" customWidth="1"/>
    <col min="3" max="6" width="12.5703125" customWidth="1"/>
    <col min="7" max="7" width="26" style="13" bestFit="1" customWidth="1"/>
    <col min="8" max="8" width="27.28515625" style="13" bestFit="1" customWidth="1"/>
    <col min="9" max="9" width="49.85546875" customWidth="1"/>
    <col min="10" max="10" width="134.42578125" bestFit="1" customWidth="1"/>
  </cols>
  <sheetData>
    <row r="1" spans="1:15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6" t="s">
        <v>118</v>
      </c>
      <c r="H1" s="16" t="s">
        <v>120</v>
      </c>
      <c r="I1" s="16" t="s">
        <v>119</v>
      </c>
      <c r="J1" t="s">
        <v>4</v>
      </c>
    </row>
    <row r="2" spans="1:15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 s="17" t="s">
        <v>61</v>
      </c>
      <c r="H2" s="18" t="s">
        <v>28</v>
      </c>
      <c r="I2" s="18" t="str">
        <f>PROPER(B2)</f>
        <v>Laptop</v>
      </c>
      <c r="J2" t="s">
        <v>5</v>
      </c>
    </row>
    <row r="3" spans="1:15" ht="15.75" customHeight="1" x14ac:dyDescent="0.2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18" t="s">
        <v>30</v>
      </c>
      <c r="H3" s="18" t="s">
        <v>32</v>
      </c>
      <c r="I3" s="18" t="str">
        <f t="shared" ref="I3:I35" si="0">PROPER(B3)</f>
        <v>Sneakers</v>
      </c>
      <c r="J3" t="s">
        <v>6</v>
      </c>
      <c r="N3" s="5"/>
      <c r="O3" s="5"/>
    </row>
    <row r="4" spans="1:15" ht="15.75" customHeight="1" x14ac:dyDescent="0.2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18" t="s">
        <v>34</v>
      </c>
      <c r="H4" s="18" t="s">
        <v>36</v>
      </c>
      <c r="I4" s="18" t="str">
        <f t="shared" si="0"/>
        <v>Coffee Maker</v>
      </c>
      <c r="J4" t="s">
        <v>7</v>
      </c>
      <c r="N4" s="5"/>
      <c r="O4" s="5"/>
    </row>
    <row r="5" spans="1:15" ht="15.75" customHeight="1" x14ac:dyDescent="0.2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18" t="s">
        <v>96</v>
      </c>
      <c r="H5" s="18" t="s">
        <v>28</v>
      </c>
      <c r="I5" s="18" t="str">
        <f t="shared" si="0"/>
        <v>Smartphone</v>
      </c>
      <c r="J5" s="5"/>
      <c r="K5" s="5"/>
      <c r="L5" s="5"/>
      <c r="M5" s="5"/>
      <c r="N5" s="5"/>
      <c r="O5" s="5"/>
    </row>
    <row r="6" spans="1:15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 t="s">
        <v>116</v>
      </c>
      <c r="G6" s="18" t="s">
        <v>41</v>
      </c>
      <c r="H6" s="18" t="s">
        <v>116</v>
      </c>
      <c r="I6" s="18" t="str">
        <f t="shared" si="0"/>
        <v>Backpack</v>
      </c>
    </row>
    <row r="7" spans="1:15" ht="15.75" customHeight="1" x14ac:dyDescent="0.2">
      <c r="A7" s="8" t="s">
        <v>43</v>
      </c>
      <c r="B7" s="8" t="s">
        <v>44</v>
      </c>
      <c r="C7" s="8" t="s">
        <v>45</v>
      </c>
      <c r="D7" s="8">
        <v>0</v>
      </c>
      <c r="E7" s="8">
        <v>45</v>
      </c>
      <c r="F7" s="14" t="s">
        <v>46</v>
      </c>
      <c r="G7" s="18" t="s">
        <v>44</v>
      </c>
      <c r="H7" s="18" t="s">
        <v>28</v>
      </c>
      <c r="I7" s="18" t="str">
        <f t="shared" si="0"/>
        <v>Headphones</v>
      </c>
    </row>
    <row r="8" spans="1:15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s="18" t="s">
        <v>117</v>
      </c>
      <c r="H8" s="18" t="s">
        <v>32</v>
      </c>
      <c r="I8" s="18" t="str">
        <f t="shared" si="0"/>
        <v>T-Shirt</v>
      </c>
    </row>
    <row r="9" spans="1:15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18" t="s">
        <v>51</v>
      </c>
      <c r="H9" s="18" t="s">
        <v>36</v>
      </c>
      <c r="I9" s="18" t="str">
        <f t="shared" si="0"/>
        <v>Blender</v>
      </c>
    </row>
    <row r="10" spans="1:15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 s="18" t="s">
        <v>54</v>
      </c>
      <c r="H10" s="18" t="s">
        <v>28</v>
      </c>
      <c r="I10" s="18" t="str">
        <f t="shared" si="0"/>
        <v>Tablet</v>
      </c>
    </row>
    <row r="11" spans="1:15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18" t="s">
        <v>57</v>
      </c>
      <c r="H11" s="18" t="s">
        <v>59</v>
      </c>
      <c r="I11" s="18" t="str">
        <f t="shared" si="0"/>
        <v>Hiking Boots</v>
      </c>
    </row>
    <row r="12" spans="1:15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 s="18" t="s">
        <v>61</v>
      </c>
      <c r="H12" s="18" t="s">
        <v>28</v>
      </c>
      <c r="I12" s="18" t="str">
        <f t="shared" si="0"/>
        <v>Laptop</v>
      </c>
    </row>
    <row r="13" spans="1:15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 t="s">
        <v>116</v>
      </c>
      <c r="G13" s="18" t="s">
        <v>30</v>
      </c>
      <c r="H13" s="18" t="s">
        <v>116</v>
      </c>
      <c r="I13" s="18" t="str">
        <f t="shared" si="0"/>
        <v>Sneakers</v>
      </c>
    </row>
    <row r="14" spans="1:15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 t="s">
        <v>116</v>
      </c>
      <c r="G14" s="18" t="s">
        <v>34</v>
      </c>
      <c r="H14" s="18" t="s">
        <v>116</v>
      </c>
      <c r="I14" s="18" t="str">
        <f t="shared" si="0"/>
        <v>Coffee Maker</v>
      </c>
    </row>
    <row r="15" spans="1:15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14" t="s">
        <v>46</v>
      </c>
      <c r="G15" s="18" t="s">
        <v>67</v>
      </c>
      <c r="H15" s="18" t="s">
        <v>28</v>
      </c>
      <c r="I15" s="18" t="str">
        <f t="shared" si="0"/>
        <v>Smartwatch</v>
      </c>
    </row>
    <row r="16" spans="1:15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15" t="s">
        <v>46</v>
      </c>
      <c r="G16" s="18" t="s">
        <v>44</v>
      </c>
      <c r="H16" s="18" t="s">
        <v>28</v>
      </c>
      <c r="I16" s="18" t="str">
        <f t="shared" si="0"/>
        <v>Headphones</v>
      </c>
    </row>
    <row r="17" spans="1:18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18" t="s">
        <v>73</v>
      </c>
      <c r="H17" s="18" t="s">
        <v>75</v>
      </c>
      <c r="I17" s="18" t="str">
        <f t="shared" si="0"/>
        <v>Laptop Bag</v>
      </c>
    </row>
    <row r="18" spans="1:18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15" t="s">
        <v>46</v>
      </c>
      <c r="G18" s="18" t="s">
        <v>67</v>
      </c>
      <c r="H18" s="18" t="s">
        <v>28</v>
      </c>
      <c r="I18" s="18" t="str">
        <f t="shared" si="0"/>
        <v>Smartwatch</v>
      </c>
    </row>
    <row r="19" spans="1:18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s="18" t="s">
        <v>61</v>
      </c>
      <c r="H19" s="18" t="s">
        <v>28</v>
      </c>
      <c r="I19" s="18" t="str">
        <f t="shared" si="0"/>
        <v>Laptop</v>
      </c>
    </row>
    <row r="20" spans="1:18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s="18" t="s">
        <v>81</v>
      </c>
      <c r="H20" s="18" t="s">
        <v>32</v>
      </c>
      <c r="I20" s="18" t="str">
        <f t="shared" si="0"/>
        <v>Sunglasses</v>
      </c>
      <c r="N20" s="5"/>
      <c r="O20" s="5"/>
      <c r="P20" s="5"/>
      <c r="Q20" s="5"/>
      <c r="R20" s="5"/>
    </row>
    <row r="21" spans="1:18" ht="15.75" customHeight="1" x14ac:dyDescent="0.25">
      <c r="A21" s="8" t="s">
        <v>83</v>
      </c>
      <c r="B21" s="8" t="s">
        <v>84</v>
      </c>
      <c r="C21" s="8" t="s">
        <v>85</v>
      </c>
      <c r="D21" s="8">
        <v>0</v>
      </c>
      <c r="E21" s="8">
        <v>10</v>
      </c>
      <c r="F21" s="8" t="s">
        <v>59</v>
      </c>
      <c r="G21" s="18" t="s">
        <v>84</v>
      </c>
      <c r="H21" s="18" t="s">
        <v>59</v>
      </c>
      <c r="I21" s="18" t="str">
        <f t="shared" si="0"/>
        <v>Camping Tent</v>
      </c>
      <c r="N21" s="3"/>
      <c r="O21" s="5"/>
      <c r="P21" s="5"/>
      <c r="Q21" s="5"/>
      <c r="R21" s="5"/>
    </row>
    <row r="22" spans="1:18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 s="18" t="s">
        <v>87</v>
      </c>
      <c r="H22" s="18" t="s">
        <v>28</v>
      </c>
      <c r="I22" s="18" t="str">
        <f t="shared" si="0"/>
        <v>Camera</v>
      </c>
    </row>
    <row r="23" spans="1:18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18" t="s">
        <v>90</v>
      </c>
      <c r="H23" s="18" t="s">
        <v>36</v>
      </c>
      <c r="I23" s="18" t="str">
        <f t="shared" si="0"/>
        <v>Microwave</v>
      </c>
    </row>
    <row r="24" spans="1:18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 t="s">
        <v>116</v>
      </c>
      <c r="G24" s="18" t="s">
        <v>93</v>
      </c>
      <c r="H24" s="18" t="s">
        <v>116</v>
      </c>
      <c r="I24" s="18" t="str">
        <f t="shared" si="0"/>
        <v>Fitness Tracker</v>
      </c>
    </row>
    <row r="25" spans="1:18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G25" s="18" t="s">
        <v>73</v>
      </c>
      <c r="H25" s="18" t="s">
        <v>75</v>
      </c>
      <c r="I25" s="18" t="str">
        <f t="shared" si="0"/>
        <v>Laptop Bag</v>
      </c>
    </row>
    <row r="26" spans="1:18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G26" s="18" t="s">
        <v>96</v>
      </c>
      <c r="H26" s="18" t="s">
        <v>28</v>
      </c>
      <c r="I26" s="18" t="str">
        <f t="shared" si="0"/>
        <v>Smartphone</v>
      </c>
    </row>
    <row r="27" spans="1:18" ht="15.75" customHeight="1" x14ac:dyDescent="0.2">
      <c r="A27" s="8" t="s">
        <v>98</v>
      </c>
      <c r="B27" s="8" t="s">
        <v>81</v>
      </c>
      <c r="C27" s="8" t="s">
        <v>99</v>
      </c>
      <c r="D27" s="8">
        <v>0</v>
      </c>
      <c r="E27" s="8">
        <v>25</v>
      </c>
      <c r="F27" s="8" t="s">
        <v>32</v>
      </c>
      <c r="G27" s="18" t="s">
        <v>81</v>
      </c>
      <c r="H27" s="18" t="s">
        <v>32</v>
      </c>
      <c r="I27" s="18" t="str">
        <f t="shared" si="0"/>
        <v>Sunglasses</v>
      </c>
    </row>
    <row r="28" spans="1:18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G28" s="18" t="s">
        <v>51</v>
      </c>
      <c r="H28" s="18" t="s">
        <v>36</v>
      </c>
      <c r="I28" s="18" t="str">
        <f t="shared" si="0"/>
        <v>Blender</v>
      </c>
    </row>
    <row r="29" spans="1:18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14" t="s">
        <v>46</v>
      </c>
      <c r="G29" s="18" t="s">
        <v>44</v>
      </c>
      <c r="H29" s="18" t="s">
        <v>28</v>
      </c>
      <c r="I29" s="18" t="str">
        <f t="shared" si="0"/>
        <v>Headphones</v>
      </c>
    </row>
    <row r="30" spans="1:18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G30" s="18" t="s">
        <v>103</v>
      </c>
      <c r="H30" s="18" t="s">
        <v>32</v>
      </c>
      <c r="I30" s="18" t="str">
        <f t="shared" si="0"/>
        <v>Dress</v>
      </c>
    </row>
    <row r="31" spans="1:18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G31" s="18" t="s">
        <v>106</v>
      </c>
      <c r="H31" s="18" t="s">
        <v>36</v>
      </c>
      <c r="I31" s="18" t="str">
        <f t="shared" si="0"/>
        <v>Toaster</v>
      </c>
    </row>
    <row r="32" spans="1:18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  <c r="G32" s="18" t="s">
        <v>93</v>
      </c>
      <c r="H32" s="18" t="s">
        <v>28</v>
      </c>
      <c r="I32" s="18" t="str">
        <f t="shared" si="0"/>
        <v>Fitness Tracker</v>
      </c>
    </row>
    <row r="33" spans="1:9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G33" s="18" t="s">
        <v>111</v>
      </c>
      <c r="H33" s="18" t="s">
        <v>32</v>
      </c>
      <c r="I33" s="18" t="str">
        <f t="shared" si="0"/>
        <v>Jeans</v>
      </c>
    </row>
    <row r="34" spans="1:9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  <c r="G34" s="18" t="s">
        <v>61</v>
      </c>
      <c r="H34" s="18" t="s">
        <v>28</v>
      </c>
      <c r="I34" s="18" t="str">
        <f t="shared" si="0"/>
        <v>Laptop</v>
      </c>
    </row>
    <row r="35" spans="1:9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G35" s="18" t="s">
        <v>114</v>
      </c>
      <c r="H35" s="18" t="s">
        <v>75</v>
      </c>
      <c r="I35" s="18" t="str">
        <f t="shared" si="0"/>
        <v>Watch</v>
      </c>
    </row>
    <row r="36" spans="1:9" ht="15.75" customHeight="1" x14ac:dyDescent="0.2"/>
    <row r="37" spans="1:9" ht="15.75" customHeight="1" x14ac:dyDescent="0.2"/>
    <row r="38" spans="1:9" ht="15.75" customHeight="1" x14ac:dyDescent="0.2"/>
    <row r="39" spans="1:9" ht="15.75" customHeight="1" x14ac:dyDescent="0.2"/>
    <row r="40" spans="1:9" ht="15.75" customHeight="1" x14ac:dyDescent="0.2"/>
    <row r="41" spans="1:9" ht="15.75" customHeight="1" x14ac:dyDescent="0.2"/>
    <row r="42" spans="1:9" ht="15.75" customHeight="1" x14ac:dyDescent="0.2"/>
    <row r="43" spans="1:9" ht="15.75" customHeight="1" x14ac:dyDescent="0.2"/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CC0F-4BC3-4222-90C2-7D456C702714}">
  <sheetPr codeName="Sheet5">
    <outlinePr summaryBelow="0" summaryRight="0"/>
  </sheetPr>
  <dimension ref="A1:N1000"/>
  <sheetViews>
    <sheetView zoomScaleNormal="100" workbookViewId="0">
      <selection activeCell="H14" sqref="H14"/>
    </sheetView>
  </sheetViews>
  <sheetFormatPr defaultColWidth="12.5703125" defaultRowHeight="15" customHeight="1" x14ac:dyDescent="0.2"/>
  <cols>
    <col min="1" max="6" width="12.5703125" customWidth="1"/>
    <col min="7" max="7" width="26" style="13" bestFit="1" customWidth="1"/>
    <col min="8" max="8" width="27.28515625" style="13" bestFit="1" customWidth="1"/>
    <col min="9" max="9" width="25" customWidth="1"/>
    <col min="10" max="10" width="134.42578125" bestFit="1" customWidth="1"/>
  </cols>
  <sheetData>
    <row r="1" spans="1:11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/>
      <c r="H1"/>
      <c r="I1" s="2" t="s">
        <v>8</v>
      </c>
    </row>
    <row r="2" spans="1:11" ht="15.75" customHeight="1" x14ac:dyDescent="0.25">
      <c r="A2" s="5" t="s">
        <v>25</v>
      </c>
      <c r="B2" s="11" t="s">
        <v>61</v>
      </c>
      <c r="C2" s="5" t="s">
        <v>27</v>
      </c>
      <c r="D2" s="5">
        <v>1000</v>
      </c>
      <c r="E2" s="5">
        <v>30</v>
      </c>
      <c r="F2" s="5" t="s">
        <v>28</v>
      </c>
      <c r="G2"/>
      <c r="H2"/>
      <c r="I2" s="2"/>
      <c r="J2" s="3" t="s">
        <v>9</v>
      </c>
    </row>
    <row r="3" spans="1:11" ht="15.75" customHeight="1" x14ac:dyDescent="0.2">
      <c r="A3" s="8" t="s">
        <v>29</v>
      </c>
      <c r="B3" s="12" t="s">
        <v>30</v>
      </c>
      <c r="C3" s="8" t="s">
        <v>31</v>
      </c>
      <c r="D3" s="8">
        <v>80</v>
      </c>
      <c r="E3" s="8">
        <v>15</v>
      </c>
      <c r="F3" s="8" t="s">
        <v>32</v>
      </c>
      <c r="G3"/>
      <c r="H3"/>
      <c r="J3" s="5"/>
      <c r="K3" s="5"/>
    </row>
    <row r="4" spans="1:11" ht="15.75" customHeight="1" x14ac:dyDescent="0.2">
      <c r="A4" s="5" t="s">
        <v>33</v>
      </c>
      <c r="B4" s="11" t="s">
        <v>34</v>
      </c>
      <c r="C4" s="5" t="s">
        <v>35</v>
      </c>
      <c r="D4" s="5">
        <v>130</v>
      </c>
      <c r="E4" s="5">
        <v>40</v>
      </c>
      <c r="F4" s="5" t="s">
        <v>36</v>
      </c>
      <c r="G4"/>
      <c r="H4"/>
      <c r="J4" s="5"/>
      <c r="K4" s="5"/>
    </row>
    <row r="5" spans="1:11" ht="15.75" customHeight="1" x14ac:dyDescent="0.2">
      <c r="A5" s="8" t="s">
        <v>37</v>
      </c>
      <c r="B5" s="12" t="s">
        <v>96</v>
      </c>
      <c r="C5" s="8" t="s">
        <v>39</v>
      </c>
      <c r="D5" s="8">
        <v>900</v>
      </c>
      <c r="E5" s="8">
        <v>25</v>
      </c>
      <c r="F5" s="8" t="s">
        <v>28</v>
      </c>
      <c r="G5" s="5"/>
      <c r="H5" s="5"/>
      <c r="I5" s="5"/>
      <c r="J5" s="5"/>
      <c r="K5" s="5"/>
    </row>
    <row r="6" spans="1:11" ht="15.75" customHeight="1" x14ac:dyDescent="0.2">
      <c r="A6" s="5" t="s">
        <v>40</v>
      </c>
      <c r="B6" s="11" t="s">
        <v>41</v>
      </c>
      <c r="C6" s="5" t="s">
        <v>42</v>
      </c>
      <c r="D6" s="5">
        <v>70</v>
      </c>
      <c r="E6" s="5">
        <v>20</v>
      </c>
      <c r="F6" s="5" t="s">
        <v>116</v>
      </c>
      <c r="G6"/>
      <c r="H6"/>
    </row>
    <row r="7" spans="1:11" ht="15.75" customHeight="1" x14ac:dyDescent="0.2">
      <c r="A7" s="8" t="s">
        <v>43</v>
      </c>
      <c r="B7" s="12" t="s">
        <v>44</v>
      </c>
      <c r="C7" s="8" t="s">
        <v>45</v>
      </c>
      <c r="D7" s="8">
        <v>0</v>
      </c>
      <c r="E7" s="8">
        <v>45</v>
      </c>
      <c r="F7" s="8" t="s">
        <v>46</v>
      </c>
      <c r="G7"/>
      <c r="H7"/>
    </row>
    <row r="8" spans="1:11" ht="15.75" customHeight="1" x14ac:dyDescent="0.2">
      <c r="A8" s="5" t="s">
        <v>47</v>
      </c>
      <c r="B8" s="11" t="s">
        <v>117</v>
      </c>
      <c r="C8" s="5" t="s">
        <v>49</v>
      </c>
      <c r="D8" s="5">
        <v>30</v>
      </c>
      <c r="E8" s="5">
        <v>5</v>
      </c>
      <c r="F8" s="5" t="s">
        <v>32</v>
      </c>
      <c r="G8"/>
      <c r="H8"/>
    </row>
    <row r="9" spans="1:11" ht="15.75" customHeight="1" x14ac:dyDescent="0.2">
      <c r="A9" s="8" t="s">
        <v>50</v>
      </c>
      <c r="B9" s="12" t="s">
        <v>51</v>
      </c>
      <c r="C9" s="8" t="s">
        <v>52</v>
      </c>
      <c r="D9" s="8">
        <v>90</v>
      </c>
      <c r="E9" s="8">
        <v>35</v>
      </c>
      <c r="F9" s="8" t="s">
        <v>36</v>
      </c>
      <c r="G9"/>
      <c r="H9"/>
    </row>
    <row r="10" spans="1:11" ht="15.75" customHeight="1" x14ac:dyDescent="0.2">
      <c r="A10" s="5" t="s">
        <v>53</v>
      </c>
      <c r="B10" s="11" t="s">
        <v>54</v>
      </c>
      <c r="C10" s="5" t="s">
        <v>55</v>
      </c>
      <c r="D10" s="5">
        <v>500</v>
      </c>
      <c r="E10" s="5">
        <v>50</v>
      </c>
      <c r="F10" s="5" t="s">
        <v>28</v>
      </c>
      <c r="G10"/>
      <c r="H10"/>
    </row>
    <row r="11" spans="1:11" ht="15.75" customHeight="1" x14ac:dyDescent="0.2">
      <c r="A11" s="8" t="s">
        <v>56</v>
      </c>
      <c r="B11" s="12" t="s">
        <v>57</v>
      </c>
      <c r="C11" s="8" t="s">
        <v>58</v>
      </c>
      <c r="D11" s="8">
        <v>130</v>
      </c>
      <c r="E11" s="8">
        <v>10</v>
      </c>
      <c r="F11" s="8" t="s">
        <v>59</v>
      </c>
      <c r="G11"/>
      <c r="H11"/>
    </row>
    <row r="12" spans="1:11" ht="15.75" customHeight="1" x14ac:dyDescent="0.2">
      <c r="A12" s="20" t="s">
        <v>60</v>
      </c>
      <c r="B12" s="21" t="s">
        <v>61</v>
      </c>
      <c r="C12" s="20" t="s">
        <v>62</v>
      </c>
      <c r="D12" s="20">
        <v>950</v>
      </c>
      <c r="E12" s="20">
        <v>25</v>
      </c>
      <c r="F12" s="20" t="s">
        <v>28</v>
      </c>
      <c r="G12" s="24" t="s">
        <v>154</v>
      </c>
      <c r="H12"/>
    </row>
    <row r="13" spans="1:11" ht="15.75" customHeight="1" x14ac:dyDescent="0.2">
      <c r="A13" s="8" t="s">
        <v>63</v>
      </c>
      <c r="B13" s="12" t="s">
        <v>30</v>
      </c>
      <c r="C13" s="8" t="s">
        <v>49</v>
      </c>
      <c r="D13" s="8">
        <v>90</v>
      </c>
      <c r="E13" s="8">
        <v>40</v>
      </c>
      <c r="F13" s="8" t="s">
        <v>116</v>
      </c>
      <c r="G13"/>
      <c r="H13"/>
    </row>
    <row r="14" spans="1:11" ht="15.75" customHeight="1" x14ac:dyDescent="0.2">
      <c r="A14" s="5" t="s">
        <v>64</v>
      </c>
      <c r="B14" s="11" t="s">
        <v>34</v>
      </c>
      <c r="C14" s="5" t="s">
        <v>65</v>
      </c>
      <c r="D14" s="5">
        <v>120</v>
      </c>
      <c r="E14" s="5">
        <v>35</v>
      </c>
      <c r="F14" s="5" t="s">
        <v>116</v>
      </c>
      <c r="G14"/>
      <c r="H14"/>
    </row>
    <row r="15" spans="1:11" ht="15.75" customHeight="1" x14ac:dyDescent="0.2">
      <c r="A15" s="8" t="s">
        <v>66</v>
      </c>
      <c r="B15" s="12" t="s">
        <v>67</v>
      </c>
      <c r="C15" s="8" t="s">
        <v>68</v>
      </c>
      <c r="D15" s="8">
        <v>150</v>
      </c>
      <c r="E15" s="8">
        <v>15</v>
      </c>
      <c r="F15" s="8" t="s">
        <v>46</v>
      </c>
      <c r="G15"/>
      <c r="H15"/>
    </row>
    <row r="16" spans="1:11" ht="15.75" customHeight="1" x14ac:dyDescent="0.2">
      <c r="A16" s="20" t="s">
        <v>69</v>
      </c>
      <c r="B16" s="21" t="s">
        <v>44</v>
      </c>
      <c r="C16" s="20" t="s">
        <v>71</v>
      </c>
      <c r="D16" s="20">
        <v>250</v>
      </c>
      <c r="E16" s="20">
        <v>20</v>
      </c>
      <c r="F16" s="20" t="s">
        <v>46</v>
      </c>
      <c r="G16" s="37" t="s">
        <v>154</v>
      </c>
      <c r="H16"/>
    </row>
    <row r="17" spans="1:14" ht="15.75" customHeight="1" x14ac:dyDescent="0.2">
      <c r="A17" s="22" t="s">
        <v>72</v>
      </c>
      <c r="B17" s="23" t="s">
        <v>73</v>
      </c>
      <c r="C17" s="22" t="s">
        <v>74</v>
      </c>
      <c r="D17" s="22">
        <v>50</v>
      </c>
      <c r="E17" s="22">
        <v>35</v>
      </c>
      <c r="F17" s="22" t="s">
        <v>75</v>
      </c>
      <c r="G17" s="37"/>
      <c r="H17"/>
    </row>
    <row r="18" spans="1:14" ht="15.75" customHeight="1" x14ac:dyDescent="0.2">
      <c r="A18" s="5" t="s">
        <v>76</v>
      </c>
      <c r="B18" s="11" t="s">
        <v>67</v>
      </c>
      <c r="C18" s="5" t="s">
        <v>77</v>
      </c>
      <c r="D18" s="5">
        <v>160</v>
      </c>
      <c r="E18" s="5">
        <v>15</v>
      </c>
      <c r="F18" s="5" t="s">
        <v>46</v>
      </c>
      <c r="G18"/>
      <c r="H18"/>
    </row>
    <row r="19" spans="1:14" ht="15.75" customHeight="1" x14ac:dyDescent="0.2">
      <c r="A19" s="8" t="s">
        <v>78</v>
      </c>
      <c r="B19" s="12" t="s">
        <v>61</v>
      </c>
      <c r="C19" s="8" t="s">
        <v>79</v>
      </c>
      <c r="D19" s="8">
        <v>980</v>
      </c>
      <c r="E19" s="8">
        <v>10</v>
      </c>
      <c r="F19" s="8" t="s">
        <v>28</v>
      </c>
      <c r="G19"/>
      <c r="H19"/>
    </row>
    <row r="20" spans="1:14" ht="15.75" customHeight="1" x14ac:dyDescent="0.2">
      <c r="A20" s="5" t="s">
        <v>80</v>
      </c>
      <c r="B20" s="11" t="s">
        <v>81</v>
      </c>
      <c r="C20" s="5" t="s">
        <v>82</v>
      </c>
      <c r="D20" s="5">
        <v>150</v>
      </c>
      <c r="E20" s="5">
        <v>15</v>
      </c>
      <c r="F20" s="5" t="s">
        <v>32</v>
      </c>
      <c r="G20"/>
      <c r="H20"/>
      <c r="J20" s="5"/>
      <c r="K20" s="5"/>
      <c r="L20" s="5"/>
      <c r="M20" s="5"/>
      <c r="N20" s="5"/>
    </row>
    <row r="21" spans="1:14" ht="15.75" customHeight="1" x14ac:dyDescent="0.25">
      <c r="A21" s="8" t="s">
        <v>83</v>
      </c>
      <c r="B21" s="12" t="s">
        <v>84</v>
      </c>
      <c r="C21" s="8" t="s">
        <v>85</v>
      </c>
      <c r="D21" s="8">
        <v>0</v>
      </c>
      <c r="E21" s="8">
        <v>10</v>
      </c>
      <c r="F21" s="8" t="s">
        <v>59</v>
      </c>
      <c r="G21"/>
      <c r="H21"/>
      <c r="J21" s="3"/>
      <c r="K21" s="5"/>
      <c r="L21" s="5"/>
      <c r="M21" s="5"/>
      <c r="N21" s="5"/>
    </row>
    <row r="22" spans="1:14" ht="15.75" customHeight="1" x14ac:dyDescent="0.2">
      <c r="A22" s="5" t="s">
        <v>86</v>
      </c>
      <c r="B22" s="11" t="s">
        <v>87</v>
      </c>
      <c r="C22" s="5" t="s">
        <v>88</v>
      </c>
      <c r="D22" s="5">
        <v>700</v>
      </c>
      <c r="E22" s="5">
        <v>50</v>
      </c>
      <c r="F22" s="5" t="s">
        <v>28</v>
      </c>
      <c r="G22"/>
      <c r="H22"/>
    </row>
    <row r="23" spans="1:14" ht="15.75" customHeight="1" x14ac:dyDescent="0.2">
      <c r="A23" s="8" t="s">
        <v>89</v>
      </c>
      <c r="B23" s="12" t="s">
        <v>90</v>
      </c>
      <c r="C23" s="8" t="s">
        <v>91</v>
      </c>
      <c r="D23" s="8">
        <v>80</v>
      </c>
      <c r="E23" s="8">
        <v>20</v>
      </c>
      <c r="F23" s="8" t="s">
        <v>36</v>
      </c>
      <c r="G23"/>
      <c r="H23"/>
    </row>
    <row r="24" spans="1:14" ht="15.75" customHeight="1" x14ac:dyDescent="0.2">
      <c r="A24" s="5" t="s">
        <v>92</v>
      </c>
      <c r="B24" s="11" t="s">
        <v>93</v>
      </c>
      <c r="C24" s="5" t="s">
        <v>94</v>
      </c>
      <c r="D24" s="5">
        <v>150</v>
      </c>
      <c r="E24" s="5">
        <v>30</v>
      </c>
      <c r="F24" s="5" t="s">
        <v>116</v>
      </c>
      <c r="G24"/>
      <c r="H24"/>
    </row>
    <row r="25" spans="1:14" ht="15.75" customHeight="1" x14ac:dyDescent="0.2">
      <c r="A25" s="5" t="s">
        <v>95</v>
      </c>
      <c r="B25" s="11" t="s">
        <v>96</v>
      </c>
      <c r="C25" s="5" t="s">
        <v>97</v>
      </c>
      <c r="D25" s="5">
        <v>800</v>
      </c>
      <c r="E25" s="5">
        <v>45</v>
      </c>
      <c r="F25" s="5" t="s">
        <v>28</v>
      </c>
      <c r="G25"/>
      <c r="H25"/>
    </row>
    <row r="26" spans="1:14" ht="15.75" customHeight="1" x14ac:dyDescent="0.2">
      <c r="A26" s="8" t="s">
        <v>98</v>
      </c>
      <c r="B26" s="12" t="s">
        <v>81</v>
      </c>
      <c r="C26" s="8" t="s">
        <v>99</v>
      </c>
      <c r="D26" s="8">
        <v>0</v>
      </c>
      <c r="E26" s="8">
        <v>25</v>
      </c>
      <c r="F26" s="8" t="s">
        <v>32</v>
      </c>
      <c r="G26"/>
      <c r="H26"/>
    </row>
    <row r="27" spans="1:14" ht="15.75" customHeight="1" x14ac:dyDescent="0.2">
      <c r="A27" s="5" t="s">
        <v>100</v>
      </c>
      <c r="B27" s="11" t="s">
        <v>51</v>
      </c>
      <c r="C27" s="5" t="s">
        <v>101</v>
      </c>
      <c r="D27" s="5">
        <v>400</v>
      </c>
      <c r="E27" s="5">
        <v>40</v>
      </c>
      <c r="F27" s="5" t="s">
        <v>36</v>
      </c>
      <c r="G27"/>
      <c r="H27"/>
    </row>
    <row r="28" spans="1:14" ht="15.75" customHeight="1" x14ac:dyDescent="0.2">
      <c r="A28" s="5" t="s">
        <v>102</v>
      </c>
      <c r="B28" s="11" t="s">
        <v>103</v>
      </c>
      <c r="C28" s="5" t="s">
        <v>104</v>
      </c>
      <c r="D28" s="5">
        <v>60</v>
      </c>
      <c r="E28" s="5">
        <v>30</v>
      </c>
      <c r="F28" s="5" t="s">
        <v>32</v>
      </c>
      <c r="G28"/>
      <c r="H28"/>
    </row>
    <row r="29" spans="1:14" ht="15.75" customHeight="1" x14ac:dyDescent="0.2">
      <c r="A29" s="8" t="s">
        <v>105</v>
      </c>
      <c r="B29" s="12" t="s">
        <v>106</v>
      </c>
      <c r="C29" s="8" t="s">
        <v>107</v>
      </c>
      <c r="D29" s="8">
        <v>40</v>
      </c>
      <c r="E29" s="8">
        <v>10</v>
      </c>
      <c r="F29" s="8" t="s">
        <v>36</v>
      </c>
      <c r="G29"/>
      <c r="H29"/>
    </row>
    <row r="30" spans="1:14" ht="15.75" customHeight="1" x14ac:dyDescent="0.2">
      <c r="A30" s="5" t="s">
        <v>108</v>
      </c>
      <c r="B30" s="11" t="s">
        <v>93</v>
      </c>
      <c r="C30" s="5" t="s">
        <v>109</v>
      </c>
      <c r="D30" s="5">
        <v>130</v>
      </c>
      <c r="E30" s="5">
        <v>5</v>
      </c>
      <c r="F30" s="5" t="s">
        <v>28</v>
      </c>
      <c r="G30"/>
      <c r="H30"/>
    </row>
    <row r="31" spans="1:14" ht="15.75" customHeight="1" x14ac:dyDescent="0.2">
      <c r="A31" s="8" t="s">
        <v>110</v>
      </c>
      <c r="B31" s="12" t="s">
        <v>111</v>
      </c>
      <c r="C31" s="8" t="s">
        <v>112</v>
      </c>
      <c r="D31" s="8">
        <v>50</v>
      </c>
      <c r="E31" s="8">
        <v>50</v>
      </c>
      <c r="F31" s="8" t="s">
        <v>32</v>
      </c>
      <c r="G31"/>
      <c r="H31"/>
    </row>
    <row r="32" spans="1:14" ht="15.75" customHeight="1" x14ac:dyDescent="0.2">
      <c r="A32" s="8" t="s">
        <v>113</v>
      </c>
      <c r="B32" s="12" t="s">
        <v>114</v>
      </c>
      <c r="C32" s="8" t="s">
        <v>115</v>
      </c>
      <c r="D32" s="8">
        <v>100</v>
      </c>
      <c r="E32" s="8">
        <v>20</v>
      </c>
      <c r="F32" s="8" t="s">
        <v>75</v>
      </c>
      <c r="G32"/>
      <c r="H32"/>
    </row>
    <row r="33" spans="1:8" ht="15.75" customHeight="1" x14ac:dyDescent="0.2">
      <c r="G33"/>
      <c r="H33"/>
    </row>
    <row r="34" spans="1:8" ht="15.75" customHeight="1" x14ac:dyDescent="0.2">
      <c r="G34"/>
      <c r="H34"/>
    </row>
    <row r="35" spans="1:8" ht="15.75" customHeight="1" x14ac:dyDescent="0.2">
      <c r="G35"/>
      <c r="H35"/>
    </row>
    <row r="36" spans="1:8" ht="15.75" customHeight="1" x14ac:dyDescent="0.2"/>
    <row r="37" spans="1:8" ht="15.75" customHeight="1" x14ac:dyDescent="0.2">
      <c r="A37" s="13"/>
      <c r="B37" s="13"/>
      <c r="G37"/>
      <c r="H37"/>
    </row>
    <row r="38" spans="1:8" ht="15.75" customHeight="1" x14ac:dyDescent="0.2">
      <c r="A38" s="13"/>
      <c r="B38" s="13"/>
      <c r="G38"/>
      <c r="H38"/>
    </row>
    <row r="39" spans="1:8" ht="15.75" customHeight="1" x14ac:dyDescent="0.2">
      <c r="A39" s="13"/>
      <c r="B39" s="13"/>
      <c r="G39"/>
      <c r="H39"/>
    </row>
    <row r="40" spans="1:8" ht="15.75" customHeight="1" x14ac:dyDescent="0.2">
      <c r="A40" s="13"/>
      <c r="B40" s="13"/>
      <c r="G40"/>
      <c r="H40"/>
    </row>
    <row r="41" spans="1:8" ht="15.75" customHeight="1" x14ac:dyDescent="0.2">
      <c r="A41" s="13"/>
      <c r="B41" s="13"/>
      <c r="G41"/>
      <c r="H41"/>
    </row>
    <row r="42" spans="1:8" ht="15.75" customHeight="1" x14ac:dyDescent="0.2">
      <c r="A42" s="13"/>
      <c r="B42" s="13"/>
      <c r="G42"/>
      <c r="H42"/>
    </row>
    <row r="43" spans="1:8" ht="15.75" customHeight="1" x14ac:dyDescent="0.2">
      <c r="A43" s="13"/>
      <c r="B43" s="13"/>
      <c r="G43"/>
      <c r="H43"/>
    </row>
    <row r="44" spans="1:8" ht="15.75" customHeight="1" x14ac:dyDescent="0.2">
      <c r="A44" s="13"/>
      <c r="B44" s="13"/>
      <c r="G44"/>
      <c r="H44"/>
    </row>
    <row r="45" spans="1:8" ht="15.75" customHeight="1" x14ac:dyDescent="0.2">
      <c r="A45" s="13"/>
      <c r="B45" s="13"/>
      <c r="G45"/>
      <c r="H45"/>
    </row>
    <row r="46" spans="1:8" ht="15.75" customHeight="1" x14ac:dyDescent="0.2">
      <c r="A46" s="13"/>
      <c r="B46" s="13"/>
      <c r="G46"/>
      <c r="H46"/>
    </row>
    <row r="47" spans="1:8" ht="15.75" customHeight="1" x14ac:dyDescent="0.2">
      <c r="A47" s="13"/>
      <c r="B47" s="13"/>
      <c r="G47"/>
      <c r="H47"/>
    </row>
    <row r="48" spans="1:8" ht="15.75" customHeight="1" x14ac:dyDescent="0.2">
      <c r="A48" s="13"/>
      <c r="B48" s="13"/>
      <c r="G48"/>
      <c r="H48"/>
    </row>
    <row r="49" spans="1:8" ht="15.75" customHeight="1" x14ac:dyDescent="0.2">
      <c r="A49" s="13"/>
      <c r="B49" s="13"/>
      <c r="G49"/>
      <c r="H49"/>
    </row>
    <row r="50" spans="1:8" ht="15.75" customHeight="1" x14ac:dyDescent="0.2">
      <c r="A50" s="13"/>
      <c r="B50" s="13"/>
      <c r="G50"/>
      <c r="H50"/>
    </row>
    <row r="51" spans="1:8" ht="15.75" customHeight="1" x14ac:dyDescent="0.2">
      <c r="A51" s="13"/>
      <c r="B51" s="13"/>
      <c r="G51"/>
      <c r="H51"/>
    </row>
    <row r="52" spans="1:8" ht="15.75" customHeight="1" x14ac:dyDescent="0.2">
      <c r="A52" s="13"/>
      <c r="B52" s="13"/>
      <c r="G52"/>
      <c r="H52"/>
    </row>
    <row r="53" spans="1:8" ht="15.75" customHeight="1" x14ac:dyDescent="0.2">
      <c r="A53" s="13"/>
      <c r="B53" s="13"/>
      <c r="G53"/>
      <c r="H53"/>
    </row>
    <row r="54" spans="1:8" ht="15.75" customHeight="1" x14ac:dyDescent="0.2">
      <c r="A54" s="13"/>
      <c r="B54" s="13"/>
      <c r="G54"/>
      <c r="H54"/>
    </row>
    <row r="55" spans="1:8" ht="15.75" customHeight="1" x14ac:dyDescent="0.2">
      <c r="A55" s="13"/>
      <c r="B55" s="13"/>
      <c r="G55"/>
      <c r="H55"/>
    </row>
    <row r="56" spans="1:8" ht="15.75" customHeight="1" x14ac:dyDescent="0.2">
      <c r="A56" s="13"/>
      <c r="B56" s="13"/>
      <c r="G56"/>
      <c r="H56"/>
    </row>
    <row r="57" spans="1:8" ht="15.75" customHeight="1" x14ac:dyDescent="0.2">
      <c r="A57" s="13"/>
      <c r="B57" s="13"/>
      <c r="G57"/>
      <c r="H57"/>
    </row>
    <row r="58" spans="1:8" ht="15.75" customHeight="1" x14ac:dyDescent="0.2">
      <c r="A58" s="13"/>
      <c r="B58" s="13"/>
      <c r="G58"/>
      <c r="H58"/>
    </row>
    <row r="59" spans="1:8" ht="15.75" customHeight="1" x14ac:dyDescent="0.2">
      <c r="A59" s="13"/>
      <c r="B59" s="13"/>
      <c r="G59"/>
      <c r="H59"/>
    </row>
    <row r="60" spans="1:8" ht="15.75" customHeight="1" x14ac:dyDescent="0.2">
      <c r="A60" s="13"/>
      <c r="B60" s="13"/>
      <c r="G60"/>
      <c r="H60"/>
    </row>
    <row r="61" spans="1:8" ht="15.75" customHeight="1" x14ac:dyDescent="0.2">
      <c r="A61" s="13"/>
      <c r="B61" s="13"/>
      <c r="G61"/>
      <c r="H61"/>
    </row>
    <row r="62" spans="1:8" ht="15.75" customHeight="1" x14ac:dyDescent="0.2">
      <c r="A62" s="13"/>
      <c r="B62" s="13"/>
      <c r="G62"/>
      <c r="H62"/>
    </row>
    <row r="63" spans="1:8" ht="15.75" customHeight="1" x14ac:dyDescent="0.2">
      <c r="A63" s="13"/>
      <c r="B63" s="13"/>
      <c r="G63"/>
      <c r="H63"/>
    </row>
    <row r="64" spans="1:8" ht="15.75" customHeight="1" x14ac:dyDescent="0.2">
      <c r="A64" s="13"/>
      <c r="B64" s="13"/>
      <c r="G64"/>
      <c r="H64"/>
    </row>
    <row r="65" spans="1:8" ht="15.75" customHeight="1" x14ac:dyDescent="0.2">
      <c r="A65" s="13"/>
      <c r="B65" s="13"/>
      <c r="G65"/>
      <c r="H65"/>
    </row>
    <row r="66" spans="1:8" ht="15.75" customHeight="1" x14ac:dyDescent="0.2">
      <c r="A66" s="13"/>
      <c r="B66" s="13"/>
      <c r="G66"/>
      <c r="H66"/>
    </row>
    <row r="67" spans="1:8" ht="15.75" customHeight="1" x14ac:dyDescent="0.2">
      <c r="A67" s="13"/>
      <c r="B67" s="13"/>
      <c r="G67"/>
      <c r="H67"/>
    </row>
    <row r="68" spans="1:8" ht="15.75" customHeight="1" x14ac:dyDescent="0.2">
      <c r="A68" s="13"/>
      <c r="B68" s="13"/>
      <c r="G68"/>
      <c r="H68"/>
    </row>
    <row r="69" spans="1:8" ht="15.75" customHeight="1" x14ac:dyDescent="0.2">
      <c r="A69" s="13"/>
      <c r="B69" s="13"/>
      <c r="G69"/>
      <c r="H69"/>
    </row>
    <row r="70" spans="1:8" ht="15.75" customHeight="1" x14ac:dyDescent="0.2">
      <c r="A70" s="13"/>
      <c r="B70" s="13"/>
      <c r="G70"/>
      <c r="H70"/>
    </row>
    <row r="71" spans="1:8" ht="15.75" customHeight="1" x14ac:dyDescent="0.2"/>
    <row r="72" spans="1:8" ht="15.75" customHeight="1" x14ac:dyDescent="0.2"/>
    <row r="73" spans="1:8" ht="15.75" customHeight="1" x14ac:dyDescent="0.2"/>
    <row r="74" spans="1:8" ht="15.75" customHeight="1" x14ac:dyDescent="0.2"/>
    <row r="75" spans="1:8" ht="15.75" customHeight="1" x14ac:dyDescent="0.2"/>
    <row r="76" spans="1:8" ht="15.75" customHeight="1" x14ac:dyDescent="0.2"/>
    <row r="77" spans="1:8" ht="15.75" customHeight="1" x14ac:dyDescent="0.2"/>
    <row r="78" spans="1:8" ht="15.75" customHeight="1" x14ac:dyDescent="0.2"/>
    <row r="79" spans="1:8" ht="15.75" customHeight="1" x14ac:dyDescent="0.2"/>
    <row r="80" spans="1:8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G16: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39FB-2349-47BC-9B08-8A2CE7765A7F}">
  <sheetPr codeName="Sheet6">
    <outlinePr summaryBelow="0" summaryRight="0"/>
  </sheetPr>
  <dimension ref="A1:M1000"/>
  <sheetViews>
    <sheetView topLeftCell="C1" zoomScaleNormal="100" workbookViewId="0">
      <selection activeCell="I2" sqref="I2"/>
    </sheetView>
  </sheetViews>
  <sheetFormatPr defaultColWidth="12.5703125" defaultRowHeight="15" customHeight="1" x14ac:dyDescent="0.2"/>
  <cols>
    <col min="1" max="6" width="12.5703125" customWidth="1"/>
    <col min="7" max="7" width="22.42578125" style="13" customWidth="1"/>
    <col min="8" max="8" width="20.28515625" style="13" customWidth="1"/>
    <col min="9" max="9" width="22.28515625" customWidth="1"/>
    <col min="10" max="10" width="134.42578125" bestFit="1" customWidth="1"/>
  </cols>
  <sheetData>
    <row r="1" spans="1:12" ht="15.75" customHeight="1" x14ac:dyDescent="0.2">
      <c r="A1" s="19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121</v>
      </c>
      <c r="H1" s="19" t="s">
        <v>122</v>
      </c>
      <c r="I1" s="19" t="s">
        <v>123</v>
      </c>
      <c r="J1" t="s">
        <v>10</v>
      </c>
    </row>
    <row r="2" spans="1:12" ht="15.75" customHeight="1" x14ac:dyDescent="0.25">
      <c r="A2" s="26" t="s">
        <v>25</v>
      </c>
      <c r="B2" s="27" t="s">
        <v>61</v>
      </c>
      <c r="C2" s="26" t="s">
        <v>27</v>
      </c>
      <c r="D2" s="26">
        <v>1000</v>
      </c>
      <c r="E2" s="26">
        <v>30</v>
      </c>
      <c r="F2" s="26" t="s">
        <v>28</v>
      </c>
      <c r="G2" s="17" t="str">
        <f>LEFT(A2,LEN(A2)-3)</f>
        <v>28-JAN</v>
      </c>
      <c r="H2" s="17" t="str">
        <f>RIGHT(A2,2)</f>
        <v>US</v>
      </c>
      <c r="I2" s="25" t="str">
        <f>_xlfn.CONCAT(B2," ",C2)</f>
        <v>Laptop Dell</v>
      </c>
      <c r="J2" s="2" t="s">
        <v>11</v>
      </c>
    </row>
    <row r="3" spans="1:12" ht="15.75" customHeight="1" x14ac:dyDescent="0.2">
      <c r="A3" s="28" t="s">
        <v>29</v>
      </c>
      <c r="B3" s="29" t="s">
        <v>30</v>
      </c>
      <c r="C3" s="28" t="s">
        <v>31</v>
      </c>
      <c r="D3" s="28">
        <v>80</v>
      </c>
      <c r="E3" s="28">
        <v>15</v>
      </c>
      <c r="F3" s="28" t="s">
        <v>32</v>
      </c>
      <c r="G3" s="17" t="str">
        <f t="shared" ref="G3:G32" si="0">LEFT(A3,LEN(A3)-3)</f>
        <v>15-FEB</v>
      </c>
      <c r="H3" s="17" t="str">
        <f t="shared" ref="H3:H32" si="1">RIGHT(A3,2)</f>
        <v>US</v>
      </c>
      <c r="I3" s="25" t="str">
        <f t="shared" ref="I3:I32" si="2">_xlfn.CONCAT(B3," ",C3)</f>
        <v>Sneakers Nike</v>
      </c>
      <c r="J3" t="s">
        <v>12</v>
      </c>
      <c r="K3" s="5"/>
    </row>
    <row r="4" spans="1:12" ht="15.75" customHeight="1" x14ac:dyDescent="0.2">
      <c r="A4" s="26" t="s">
        <v>33</v>
      </c>
      <c r="B4" s="27" t="s">
        <v>34</v>
      </c>
      <c r="C4" s="26" t="s">
        <v>35</v>
      </c>
      <c r="D4" s="26">
        <v>130</v>
      </c>
      <c r="E4" s="26">
        <v>40</v>
      </c>
      <c r="F4" s="26" t="s">
        <v>36</v>
      </c>
      <c r="G4" s="17" t="str">
        <f t="shared" si="0"/>
        <v>03-MAR</v>
      </c>
      <c r="H4" s="17" t="str">
        <f t="shared" si="1"/>
        <v>US</v>
      </c>
      <c r="I4" s="25" t="str">
        <f t="shared" si="2"/>
        <v>Coffee Maker Keurig</v>
      </c>
      <c r="J4" s="5"/>
      <c r="K4" s="5"/>
    </row>
    <row r="5" spans="1:12" ht="15.75" customHeight="1" x14ac:dyDescent="0.2">
      <c r="A5" s="28" t="s">
        <v>37</v>
      </c>
      <c r="B5" s="29" t="s">
        <v>96</v>
      </c>
      <c r="C5" s="28" t="s">
        <v>39</v>
      </c>
      <c r="D5" s="28">
        <v>900</v>
      </c>
      <c r="E5" s="28">
        <v>25</v>
      </c>
      <c r="F5" s="28" t="s">
        <v>28</v>
      </c>
      <c r="G5" s="17" t="str">
        <f t="shared" si="0"/>
        <v>11-APR</v>
      </c>
      <c r="H5" s="17" t="str">
        <f t="shared" si="1"/>
        <v>US</v>
      </c>
      <c r="I5" s="25" t="str">
        <f t="shared" si="2"/>
        <v>Smartphone Samsung</v>
      </c>
      <c r="J5" s="5"/>
      <c r="K5" s="5"/>
    </row>
    <row r="6" spans="1:12" ht="15.75" customHeight="1" x14ac:dyDescent="0.2">
      <c r="A6" s="26" t="s">
        <v>40</v>
      </c>
      <c r="B6" s="27" t="s">
        <v>41</v>
      </c>
      <c r="C6" s="26" t="s">
        <v>42</v>
      </c>
      <c r="D6" s="26">
        <v>70</v>
      </c>
      <c r="E6" s="26">
        <v>20</v>
      </c>
      <c r="F6" s="26" t="s">
        <v>116</v>
      </c>
      <c r="G6" s="17" t="str">
        <f t="shared" si="0"/>
        <v>22-MAY</v>
      </c>
      <c r="H6" s="17" t="str">
        <f t="shared" si="1"/>
        <v>US</v>
      </c>
      <c r="I6" s="25" t="str">
        <f t="shared" si="2"/>
        <v>Backpack North Face</v>
      </c>
    </row>
    <row r="7" spans="1:12" ht="15.75" customHeight="1" x14ac:dyDescent="0.2">
      <c r="A7" s="28" t="s">
        <v>43</v>
      </c>
      <c r="B7" s="29" t="s">
        <v>44</v>
      </c>
      <c r="C7" s="28" t="s">
        <v>45</v>
      </c>
      <c r="D7" s="28">
        <v>0</v>
      </c>
      <c r="E7" s="28">
        <v>45</v>
      </c>
      <c r="F7" s="28" t="s">
        <v>46</v>
      </c>
      <c r="G7" s="17" t="str">
        <f t="shared" si="0"/>
        <v>07-JUN</v>
      </c>
      <c r="H7" s="17" t="str">
        <f t="shared" si="1"/>
        <v>UK</v>
      </c>
      <c r="I7" s="25" t="str">
        <f t="shared" si="2"/>
        <v>Headphones Sony</v>
      </c>
    </row>
    <row r="8" spans="1:12" ht="15.75" customHeight="1" x14ac:dyDescent="0.2">
      <c r="A8" s="26" t="s">
        <v>47</v>
      </c>
      <c r="B8" s="26" t="s">
        <v>117</v>
      </c>
      <c r="C8" s="26" t="s">
        <v>49</v>
      </c>
      <c r="D8" s="26">
        <v>30</v>
      </c>
      <c r="E8" s="26">
        <v>5</v>
      </c>
      <c r="F8" s="26" t="s">
        <v>32</v>
      </c>
      <c r="G8" s="17" t="str">
        <f t="shared" si="0"/>
        <v>19-JUL</v>
      </c>
      <c r="H8" s="17" t="str">
        <f t="shared" si="1"/>
        <v>UK</v>
      </c>
      <c r="I8" s="25" t="str">
        <f t="shared" si="2"/>
        <v>T-Shirt Adidas</v>
      </c>
    </row>
    <row r="9" spans="1:12" ht="15.75" customHeight="1" x14ac:dyDescent="0.2">
      <c r="A9" s="28" t="s">
        <v>50</v>
      </c>
      <c r="B9" s="28" t="s">
        <v>51</v>
      </c>
      <c r="C9" s="28" t="s">
        <v>52</v>
      </c>
      <c r="D9" s="28">
        <v>90</v>
      </c>
      <c r="E9" s="28">
        <v>35</v>
      </c>
      <c r="F9" s="28" t="s">
        <v>36</v>
      </c>
      <c r="G9" s="17" t="str">
        <f t="shared" si="0"/>
        <v>23-AUG</v>
      </c>
      <c r="H9" s="17" t="str">
        <f t="shared" si="1"/>
        <v>UK</v>
      </c>
      <c r="I9" s="25" t="str">
        <f t="shared" si="2"/>
        <v>Blender Ninja</v>
      </c>
    </row>
    <row r="10" spans="1:12" ht="15.75" customHeight="1" x14ac:dyDescent="0.2">
      <c r="A10" s="26" t="s">
        <v>53</v>
      </c>
      <c r="B10" s="26" t="s">
        <v>54</v>
      </c>
      <c r="C10" s="26" t="s">
        <v>55</v>
      </c>
      <c r="D10" s="26">
        <v>500</v>
      </c>
      <c r="E10" s="26">
        <v>50</v>
      </c>
      <c r="F10" s="26" t="s">
        <v>28</v>
      </c>
      <c r="G10" s="17" t="str">
        <f t="shared" si="0"/>
        <v>05-SEP</v>
      </c>
      <c r="H10" s="17" t="str">
        <f t="shared" si="1"/>
        <v>UK</v>
      </c>
      <c r="I10" s="25" t="str">
        <f t="shared" si="2"/>
        <v>Tablet Apple</v>
      </c>
    </row>
    <row r="11" spans="1:12" ht="15.75" customHeight="1" x14ac:dyDescent="0.2">
      <c r="A11" s="28" t="s">
        <v>56</v>
      </c>
      <c r="B11" s="28" t="s">
        <v>57</v>
      </c>
      <c r="C11" s="28" t="s">
        <v>58</v>
      </c>
      <c r="D11" s="28">
        <v>130</v>
      </c>
      <c r="E11" s="28">
        <v>10</v>
      </c>
      <c r="F11" s="28" t="s">
        <v>59</v>
      </c>
      <c r="G11" s="17" t="str">
        <f t="shared" si="0"/>
        <v>14-OCT</v>
      </c>
      <c r="H11" s="17" t="str">
        <f t="shared" si="1"/>
        <v>UK</v>
      </c>
      <c r="I11" s="25" t="str">
        <f t="shared" si="2"/>
        <v>Hiking Boots Timberland</v>
      </c>
    </row>
    <row r="12" spans="1:12" ht="15.75" customHeight="1" x14ac:dyDescent="0.2">
      <c r="A12" s="26" t="s">
        <v>60</v>
      </c>
      <c r="B12" s="26" t="s">
        <v>61</v>
      </c>
      <c r="C12" s="26" t="s">
        <v>62</v>
      </c>
      <c r="D12" s="26">
        <v>950</v>
      </c>
      <c r="E12" s="26">
        <v>25</v>
      </c>
      <c r="F12" s="26" t="s">
        <v>28</v>
      </c>
      <c r="G12" s="17" t="str">
        <f t="shared" si="0"/>
        <v>17-JUN</v>
      </c>
      <c r="H12" s="17" t="str">
        <f t="shared" si="1"/>
        <v>IN</v>
      </c>
      <c r="I12" s="25" t="str">
        <f t="shared" si="2"/>
        <v>Laptop HP</v>
      </c>
      <c r="J12" s="5"/>
      <c r="K12" s="5"/>
      <c r="L12" s="5"/>
    </row>
    <row r="13" spans="1:12" ht="15.75" customHeight="1" x14ac:dyDescent="0.2">
      <c r="A13" s="28" t="s">
        <v>63</v>
      </c>
      <c r="B13" s="28" t="s">
        <v>30</v>
      </c>
      <c r="C13" s="28" t="s">
        <v>49</v>
      </c>
      <c r="D13" s="28">
        <v>90</v>
      </c>
      <c r="E13" s="28">
        <v>40</v>
      </c>
      <c r="F13" s="28" t="s">
        <v>116</v>
      </c>
      <c r="G13" s="17" t="str">
        <f t="shared" si="0"/>
        <v>25-NOV</v>
      </c>
      <c r="H13" s="17" t="str">
        <f t="shared" si="1"/>
        <v>AU</v>
      </c>
      <c r="I13" s="25" t="str">
        <f t="shared" si="2"/>
        <v>Sneakers Adidas</v>
      </c>
    </row>
    <row r="14" spans="1:12" ht="15.75" customHeight="1" x14ac:dyDescent="0.2">
      <c r="A14" s="26" t="s">
        <v>64</v>
      </c>
      <c r="B14" s="26" t="s">
        <v>34</v>
      </c>
      <c r="C14" s="26" t="s">
        <v>65</v>
      </c>
      <c r="D14" s="26">
        <v>120</v>
      </c>
      <c r="E14" s="26">
        <v>35</v>
      </c>
      <c r="F14" s="26" t="s">
        <v>116</v>
      </c>
      <c r="G14" s="17" t="str">
        <f t="shared" si="0"/>
        <v>08-DEC</v>
      </c>
      <c r="H14" s="17" t="str">
        <f t="shared" si="1"/>
        <v>DE</v>
      </c>
      <c r="I14" s="25" t="str">
        <f t="shared" si="2"/>
        <v>Coffee Maker Nespresso</v>
      </c>
    </row>
    <row r="15" spans="1:12" ht="15.75" customHeight="1" x14ac:dyDescent="0.2">
      <c r="A15" s="28" t="s">
        <v>66</v>
      </c>
      <c r="B15" s="28" t="s">
        <v>67</v>
      </c>
      <c r="C15" s="28" t="s">
        <v>68</v>
      </c>
      <c r="D15" s="28">
        <v>150</v>
      </c>
      <c r="E15" s="28">
        <v>15</v>
      </c>
      <c r="F15" s="28" t="s">
        <v>46</v>
      </c>
      <c r="G15" s="17" t="str">
        <f t="shared" si="0"/>
        <v>18-FEB</v>
      </c>
      <c r="H15" s="17" t="str">
        <f t="shared" si="1"/>
        <v>CA</v>
      </c>
      <c r="I15" s="25" t="str">
        <f t="shared" si="2"/>
        <v>Smartwatch Fitbit</v>
      </c>
    </row>
    <row r="16" spans="1:12" ht="15.75" customHeight="1" x14ac:dyDescent="0.2">
      <c r="A16" s="26" t="s">
        <v>69</v>
      </c>
      <c r="B16" s="26" t="s">
        <v>44</v>
      </c>
      <c r="C16" s="26" t="s">
        <v>71</v>
      </c>
      <c r="D16" s="26">
        <v>250</v>
      </c>
      <c r="E16" s="26">
        <v>20</v>
      </c>
      <c r="F16" s="26" t="s">
        <v>46</v>
      </c>
      <c r="G16" s="17" t="str">
        <f t="shared" si="0"/>
        <v>16-APR</v>
      </c>
      <c r="H16" s="17" t="str">
        <f t="shared" si="1"/>
        <v>ES</v>
      </c>
      <c r="I16" s="25" t="str">
        <f t="shared" si="2"/>
        <v>Headphones Bose</v>
      </c>
    </row>
    <row r="17" spans="1:13" ht="15.75" customHeight="1" x14ac:dyDescent="0.2">
      <c r="A17" s="28" t="s">
        <v>72</v>
      </c>
      <c r="B17" s="28" t="s">
        <v>73</v>
      </c>
      <c r="C17" s="28" t="s">
        <v>74</v>
      </c>
      <c r="D17" s="28">
        <v>50</v>
      </c>
      <c r="E17" s="28">
        <v>35</v>
      </c>
      <c r="F17" s="28" t="s">
        <v>75</v>
      </c>
      <c r="G17" s="17" t="str">
        <f t="shared" si="0"/>
        <v>21-AUG</v>
      </c>
      <c r="H17" s="17" t="str">
        <f t="shared" si="1"/>
        <v>CA</v>
      </c>
      <c r="I17" s="25" t="str">
        <f t="shared" si="2"/>
        <v>Laptop Bag Samsonite</v>
      </c>
    </row>
    <row r="18" spans="1:13" ht="15.75" customHeight="1" x14ac:dyDescent="0.2">
      <c r="A18" s="26" t="s">
        <v>76</v>
      </c>
      <c r="B18" s="26" t="s">
        <v>67</v>
      </c>
      <c r="C18" s="26" t="s">
        <v>77</v>
      </c>
      <c r="D18" s="26">
        <v>160</v>
      </c>
      <c r="E18" s="26">
        <v>15</v>
      </c>
      <c r="F18" s="26" t="s">
        <v>46</v>
      </c>
      <c r="G18" s="17" t="str">
        <f t="shared" si="0"/>
        <v>20-AUG</v>
      </c>
      <c r="H18" s="17" t="str">
        <f t="shared" si="1"/>
        <v>CN</v>
      </c>
      <c r="I18" s="25" t="str">
        <f t="shared" si="2"/>
        <v>Smartwatch Huawei</v>
      </c>
    </row>
    <row r="19" spans="1:13" ht="15.75" customHeight="1" x14ac:dyDescent="0.2">
      <c r="A19" s="28" t="s">
        <v>78</v>
      </c>
      <c r="B19" s="28" t="s">
        <v>61</v>
      </c>
      <c r="C19" s="28" t="s">
        <v>79</v>
      </c>
      <c r="D19" s="28">
        <v>980</v>
      </c>
      <c r="E19" s="28">
        <v>10</v>
      </c>
      <c r="F19" s="28" t="s">
        <v>28</v>
      </c>
      <c r="G19" s="17" t="str">
        <f t="shared" si="0"/>
        <v>27-JAN</v>
      </c>
      <c r="H19" s="17" t="str">
        <f t="shared" si="1"/>
        <v>IT</v>
      </c>
      <c r="I19" s="25" t="str">
        <f t="shared" si="2"/>
        <v>Laptop Asus</v>
      </c>
    </row>
    <row r="20" spans="1:13" ht="15.75" customHeight="1" x14ac:dyDescent="0.2">
      <c r="A20" s="26" t="s">
        <v>80</v>
      </c>
      <c r="B20" s="26" t="s">
        <v>81</v>
      </c>
      <c r="C20" s="26" t="s">
        <v>82</v>
      </c>
      <c r="D20" s="26">
        <v>150</v>
      </c>
      <c r="E20" s="26">
        <v>15</v>
      </c>
      <c r="F20" s="26" t="s">
        <v>32</v>
      </c>
      <c r="G20" s="17" t="str">
        <f t="shared" si="0"/>
        <v>01-MAR</v>
      </c>
      <c r="H20" s="17" t="str">
        <f t="shared" si="1"/>
        <v>UK</v>
      </c>
      <c r="I20" s="25" t="str">
        <f t="shared" si="2"/>
        <v>Sunglasses Oakley</v>
      </c>
    </row>
    <row r="21" spans="1:13" ht="15.75" customHeight="1" x14ac:dyDescent="0.2">
      <c r="A21" s="28" t="s">
        <v>83</v>
      </c>
      <c r="B21" s="28" t="s">
        <v>84</v>
      </c>
      <c r="C21" s="28" t="s">
        <v>85</v>
      </c>
      <c r="D21" s="28">
        <v>0</v>
      </c>
      <c r="E21" s="28">
        <v>10</v>
      </c>
      <c r="F21" s="28" t="s">
        <v>59</v>
      </c>
      <c r="G21" s="17" t="str">
        <f t="shared" si="0"/>
        <v>14-AUG</v>
      </c>
      <c r="H21" s="17" t="str">
        <f t="shared" si="1"/>
        <v>US</v>
      </c>
      <c r="I21" s="25" t="str">
        <f t="shared" si="2"/>
        <v>Camping Tent Coleman</v>
      </c>
    </row>
    <row r="22" spans="1:13" ht="15.75" customHeight="1" x14ac:dyDescent="0.2">
      <c r="A22" s="26" t="s">
        <v>86</v>
      </c>
      <c r="B22" s="26" t="s">
        <v>87</v>
      </c>
      <c r="C22" s="26" t="s">
        <v>88</v>
      </c>
      <c r="D22" s="26">
        <v>700</v>
      </c>
      <c r="E22" s="26">
        <v>50</v>
      </c>
      <c r="F22" s="26" t="s">
        <v>28</v>
      </c>
      <c r="G22" s="17" t="str">
        <f t="shared" si="0"/>
        <v>14-MAY</v>
      </c>
      <c r="H22" s="17" t="str">
        <f t="shared" si="1"/>
        <v>RU</v>
      </c>
      <c r="I22" s="25" t="str">
        <f t="shared" si="2"/>
        <v>Camera Nikon</v>
      </c>
    </row>
    <row r="23" spans="1:13" ht="15.75" customHeight="1" x14ac:dyDescent="0.2">
      <c r="A23" s="28" t="s">
        <v>89</v>
      </c>
      <c r="B23" s="29" t="s">
        <v>90</v>
      </c>
      <c r="C23" s="28" t="s">
        <v>91</v>
      </c>
      <c r="D23" s="28">
        <v>80</v>
      </c>
      <c r="E23" s="28">
        <v>20</v>
      </c>
      <c r="F23" s="28" t="s">
        <v>36</v>
      </c>
      <c r="G23" s="17" t="str">
        <f t="shared" si="0"/>
        <v>09-JAN</v>
      </c>
      <c r="H23" s="17" t="str">
        <f t="shared" si="1"/>
        <v>CA</v>
      </c>
      <c r="I23" s="25" t="str">
        <f t="shared" si="2"/>
        <v>Microwave Panasonic</v>
      </c>
    </row>
    <row r="24" spans="1:13" ht="15.75" customHeight="1" x14ac:dyDescent="0.2">
      <c r="A24" s="26" t="s">
        <v>92</v>
      </c>
      <c r="B24" s="27" t="s">
        <v>93</v>
      </c>
      <c r="C24" s="26" t="s">
        <v>94</v>
      </c>
      <c r="D24" s="26">
        <v>150</v>
      </c>
      <c r="E24" s="26">
        <v>30</v>
      </c>
      <c r="F24" s="26" t="s">
        <v>116</v>
      </c>
      <c r="G24" s="17" t="str">
        <f t="shared" si="0"/>
        <v>19-JUL</v>
      </c>
      <c r="H24" s="17" t="str">
        <f t="shared" si="1"/>
        <v>BR</v>
      </c>
      <c r="I24" s="25" t="str">
        <f t="shared" si="2"/>
        <v>Fitness Tracker Xiaomi</v>
      </c>
    </row>
    <row r="25" spans="1:13" ht="15.75" customHeight="1" x14ac:dyDescent="0.2">
      <c r="A25" s="26" t="s">
        <v>95</v>
      </c>
      <c r="B25" s="27" t="s">
        <v>96</v>
      </c>
      <c r="C25" s="26" t="s">
        <v>97</v>
      </c>
      <c r="D25" s="26">
        <v>800</v>
      </c>
      <c r="E25" s="26">
        <v>45</v>
      </c>
      <c r="F25" s="26" t="s">
        <v>28</v>
      </c>
      <c r="G25" s="17" t="str">
        <f t="shared" si="0"/>
        <v>29-SEP</v>
      </c>
      <c r="H25" s="17" t="str">
        <f t="shared" si="1"/>
        <v>CA</v>
      </c>
      <c r="I25" s="25" t="str">
        <f t="shared" si="2"/>
        <v>Smartphone Google</v>
      </c>
    </row>
    <row r="26" spans="1:13" ht="15.75" customHeight="1" x14ac:dyDescent="0.2">
      <c r="A26" s="28" t="s">
        <v>98</v>
      </c>
      <c r="B26" s="29" t="s">
        <v>81</v>
      </c>
      <c r="C26" s="28" t="s">
        <v>99</v>
      </c>
      <c r="D26" s="28">
        <v>0</v>
      </c>
      <c r="E26" s="28">
        <v>25</v>
      </c>
      <c r="F26" s="28" t="s">
        <v>32</v>
      </c>
      <c r="G26" s="17" t="str">
        <f t="shared" si="0"/>
        <v>03-JUN</v>
      </c>
      <c r="H26" s="17" t="str">
        <f t="shared" si="1"/>
        <v>CA</v>
      </c>
      <c r="I26" s="25" t="str">
        <f t="shared" si="2"/>
        <v>Sunglasses Ray-Ban</v>
      </c>
      <c r="J26" s="5"/>
      <c r="K26" s="5"/>
      <c r="L26" s="5"/>
      <c r="M26" s="5"/>
    </row>
    <row r="27" spans="1:13" ht="15.75" customHeight="1" x14ac:dyDescent="0.2">
      <c r="A27" s="26" t="s">
        <v>100</v>
      </c>
      <c r="B27" s="27" t="s">
        <v>51</v>
      </c>
      <c r="C27" s="26" t="s">
        <v>101</v>
      </c>
      <c r="D27" s="26">
        <v>400</v>
      </c>
      <c r="E27" s="26">
        <v>40</v>
      </c>
      <c r="F27" s="26" t="s">
        <v>36</v>
      </c>
      <c r="G27" s="17" t="str">
        <f t="shared" si="0"/>
        <v>11-JUL</v>
      </c>
      <c r="H27" s="17" t="str">
        <f t="shared" si="1"/>
        <v>CA</v>
      </c>
      <c r="I27" s="25" t="str">
        <f t="shared" si="2"/>
        <v>Blender Vitamix</v>
      </c>
    </row>
    <row r="28" spans="1:13" ht="15.75" customHeight="1" x14ac:dyDescent="0.2">
      <c r="A28" s="26" t="s">
        <v>102</v>
      </c>
      <c r="B28" s="27" t="s">
        <v>103</v>
      </c>
      <c r="C28" s="26" t="s">
        <v>104</v>
      </c>
      <c r="D28" s="26">
        <v>60</v>
      </c>
      <c r="E28" s="26">
        <v>30</v>
      </c>
      <c r="F28" s="26" t="s">
        <v>32</v>
      </c>
      <c r="G28" s="17" t="str">
        <f t="shared" si="0"/>
        <v>07-MAR</v>
      </c>
      <c r="H28" s="17" t="str">
        <f t="shared" si="1"/>
        <v>CA</v>
      </c>
      <c r="I28" s="25" t="str">
        <f t="shared" si="2"/>
        <v>Dress Zara</v>
      </c>
    </row>
    <row r="29" spans="1:13" ht="15.75" customHeight="1" x14ac:dyDescent="0.2">
      <c r="A29" s="28" t="s">
        <v>105</v>
      </c>
      <c r="B29" s="29" t="s">
        <v>106</v>
      </c>
      <c r="C29" s="28" t="s">
        <v>107</v>
      </c>
      <c r="D29" s="28">
        <v>40</v>
      </c>
      <c r="E29" s="28">
        <v>10</v>
      </c>
      <c r="F29" s="28" t="s">
        <v>36</v>
      </c>
      <c r="G29" s="17" t="str">
        <f t="shared" si="0"/>
        <v>13-APR</v>
      </c>
      <c r="H29" s="17" t="str">
        <f t="shared" si="1"/>
        <v>CA</v>
      </c>
      <c r="I29" s="25" t="str">
        <f t="shared" si="2"/>
        <v>Toaster Hamilton</v>
      </c>
    </row>
    <row r="30" spans="1:13" ht="15.75" customHeight="1" x14ac:dyDescent="0.2">
      <c r="A30" s="26" t="s">
        <v>108</v>
      </c>
      <c r="B30" s="27" t="s">
        <v>93</v>
      </c>
      <c r="C30" s="26" t="s">
        <v>109</v>
      </c>
      <c r="D30" s="26">
        <v>130</v>
      </c>
      <c r="E30" s="26">
        <v>5</v>
      </c>
      <c r="F30" s="26" t="s">
        <v>28</v>
      </c>
      <c r="G30" s="17" t="str">
        <f t="shared" si="0"/>
        <v>24-MAY</v>
      </c>
      <c r="H30" s="17" t="str">
        <f t="shared" si="1"/>
        <v>CA</v>
      </c>
      <c r="I30" s="25" t="str">
        <f t="shared" si="2"/>
        <v>Fitness Tracker Garmin</v>
      </c>
    </row>
    <row r="31" spans="1:13" ht="15.75" customHeight="1" x14ac:dyDescent="0.2">
      <c r="A31" s="28" t="s">
        <v>110</v>
      </c>
      <c r="B31" s="29" t="s">
        <v>111</v>
      </c>
      <c r="C31" s="28" t="s">
        <v>112</v>
      </c>
      <c r="D31" s="28">
        <v>50</v>
      </c>
      <c r="E31" s="28">
        <v>50</v>
      </c>
      <c r="F31" s="28" t="s">
        <v>32</v>
      </c>
      <c r="G31" s="17" t="str">
        <f t="shared" si="0"/>
        <v>02-DEC</v>
      </c>
      <c r="H31" s="17" t="str">
        <f t="shared" si="1"/>
        <v>CA</v>
      </c>
      <c r="I31" s="25" t="str">
        <f t="shared" si="2"/>
        <v>Jeans Levi's</v>
      </c>
    </row>
    <row r="32" spans="1:13" ht="15.75" customHeight="1" x14ac:dyDescent="0.2">
      <c r="A32" s="28" t="s">
        <v>113</v>
      </c>
      <c r="B32" s="29" t="s">
        <v>114</v>
      </c>
      <c r="C32" s="28" t="s">
        <v>115</v>
      </c>
      <c r="D32" s="28">
        <v>100</v>
      </c>
      <c r="E32" s="28">
        <v>20</v>
      </c>
      <c r="F32" s="28" t="s">
        <v>75</v>
      </c>
      <c r="G32" s="17" t="str">
        <f t="shared" si="0"/>
        <v>09-JUL</v>
      </c>
      <c r="H32" s="17" t="str">
        <f t="shared" si="1"/>
        <v>FR</v>
      </c>
      <c r="I32" s="25" t="str">
        <f t="shared" si="2"/>
        <v>Watch Casio</v>
      </c>
    </row>
    <row r="33" spans="1:2" ht="15.75" customHeight="1" x14ac:dyDescent="0.2"/>
    <row r="34" spans="1:2" ht="15.75" customHeight="1" x14ac:dyDescent="0.2"/>
    <row r="35" spans="1:2" ht="15.75" customHeight="1" x14ac:dyDescent="0.2"/>
    <row r="36" spans="1:2" ht="15.75" customHeight="1" x14ac:dyDescent="0.2"/>
    <row r="37" spans="1:2" ht="15.75" customHeight="1" x14ac:dyDescent="0.2">
      <c r="A37" s="13"/>
      <c r="B37" s="13"/>
    </row>
    <row r="38" spans="1:2" ht="15.75" customHeight="1" x14ac:dyDescent="0.2">
      <c r="A38" s="13"/>
      <c r="B38" s="13"/>
    </row>
    <row r="39" spans="1:2" ht="15.75" customHeight="1" x14ac:dyDescent="0.2">
      <c r="A39" s="13"/>
      <c r="B39" s="13"/>
    </row>
    <row r="40" spans="1:2" ht="15.75" customHeight="1" x14ac:dyDescent="0.2">
      <c r="A40" s="13"/>
      <c r="B40" s="13"/>
    </row>
    <row r="41" spans="1:2" ht="15.75" customHeight="1" x14ac:dyDescent="0.2">
      <c r="A41" s="13"/>
      <c r="B41" s="13"/>
    </row>
    <row r="42" spans="1:2" ht="15.75" customHeight="1" x14ac:dyDescent="0.2">
      <c r="A42" s="13"/>
      <c r="B42" s="13"/>
    </row>
    <row r="43" spans="1:2" ht="15.75" customHeight="1" x14ac:dyDescent="0.2">
      <c r="A43" s="13"/>
      <c r="B43" s="13"/>
    </row>
    <row r="44" spans="1:2" ht="15.75" customHeight="1" x14ac:dyDescent="0.2">
      <c r="A44" s="13"/>
      <c r="B44" s="13"/>
    </row>
    <row r="45" spans="1:2" ht="15.75" customHeight="1" x14ac:dyDescent="0.2">
      <c r="A45" s="13"/>
      <c r="B45" s="13"/>
    </row>
    <row r="46" spans="1:2" ht="15.75" customHeight="1" x14ac:dyDescent="0.2">
      <c r="A46" s="13"/>
      <c r="B46" s="13"/>
    </row>
    <row r="47" spans="1:2" ht="15.75" customHeight="1" x14ac:dyDescent="0.2">
      <c r="A47" s="13"/>
      <c r="B47" s="13"/>
    </row>
    <row r="48" spans="1:2" ht="15.75" customHeight="1" x14ac:dyDescent="0.2">
      <c r="A48" s="13"/>
      <c r="B48" s="13"/>
    </row>
    <row r="49" spans="1:2" ht="15.75" customHeight="1" x14ac:dyDescent="0.2">
      <c r="A49" s="13"/>
      <c r="B49" s="13"/>
    </row>
    <row r="50" spans="1:2" ht="15.75" customHeight="1" x14ac:dyDescent="0.2">
      <c r="A50" s="13"/>
      <c r="B50" s="13"/>
    </row>
    <row r="51" spans="1:2" ht="15.75" customHeight="1" x14ac:dyDescent="0.2">
      <c r="A51" s="13"/>
      <c r="B51" s="13"/>
    </row>
    <row r="52" spans="1:2" ht="15.75" customHeight="1" x14ac:dyDescent="0.2">
      <c r="A52" s="13"/>
      <c r="B52" s="13"/>
    </row>
    <row r="53" spans="1:2" ht="15.75" customHeight="1" x14ac:dyDescent="0.2">
      <c r="A53" s="13"/>
      <c r="B53" s="13"/>
    </row>
    <row r="54" spans="1:2" ht="15.75" customHeight="1" x14ac:dyDescent="0.2">
      <c r="A54" s="13"/>
      <c r="B54" s="13"/>
    </row>
    <row r="55" spans="1:2" ht="15.75" customHeight="1" x14ac:dyDescent="0.2">
      <c r="A55" s="13"/>
      <c r="B55" s="13"/>
    </row>
    <row r="56" spans="1:2" ht="15.75" customHeight="1" x14ac:dyDescent="0.2">
      <c r="A56" s="13"/>
      <c r="B56" s="13"/>
    </row>
    <row r="57" spans="1:2" ht="15.75" customHeight="1" x14ac:dyDescent="0.2">
      <c r="A57" s="13"/>
      <c r="B57" s="13"/>
    </row>
    <row r="58" spans="1:2" ht="15.75" customHeight="1" x14ac:dyDescent="0.2">
      <c r="A58" s="13"/>
      <c r="B58" s="13"/>
    </row>
    <row r="59" spans="1:2" ht="15.75" customHeight="1" x14ac:dyDescent="0.2">
      <c r="A59" s="13"/>
      <c r="B59" s="13"/>
    </row>
    <row r="60" spans="1:2" ht="15.75" customHeight="1" x14ac:dyDescent="0.2">
      <c r="A60" s="13"/>
      <c r="B60" s="13"/>
    </row>
    <row r="61" spans="1:2" ht="15.75" customHeight="1" x14ac:dyDescent="0.2">
      <c r="A61" s="13"/>
      <c r="B61" s="13"/>
    </row>
    <row r="62" spans="1:2" ht="15.75" customHeight="1" x14ac:dyDescent="0.2">
      <c r="A62" s="13"/>
      <c r="B62" s="13"/>
    </row>
    <row r="63" spans="1:2" ht="15.75" customHeight="1" x14ac:dyDescent="0.2">
      <c r="A63" s="13"/>
      <c r="B63" s="13"/>
    </row>
    <row r="64" spans="1:2" ht="15.75" customHeight="1" x14ac:dyDescent="0.2">
      <c r="A64" s="13"/>
      <c r="B64" s="13"/>
    </row>
    <row r="65" spans="1:2" ht="15.75" customHeight="1" x14ac:dyDescent="0.2">
      <c r="A65" s="13"/>
      <c r="B65" s="13"/>
    </row>
    <row r="66" spans="1:2" ht="15.75" customHeight="1" x14ac:dyDescent="0.2">
      <c r="A66" s="13"/>
      <c r="B66" s="13"/>
    </row>
    <row r="67" spans="1:2" ht="15.75" customHeight="1" x14ac:dyDescent="0.2">
      <c r="A67" s="13"/>
      <c r="B67" s="13"/>
    </row>
    <row r="68" spans="1:2" ht="15.75" customHeight="1" x14ac:dyDescent="0.2">
      <c r="A68" s="13"/>
      <c r="B68" s="13"/>
    </row>
    <row r="69" spans="1:2" ht="15.75" customHeight="1" x14ac:dyDescent="0.2">
      <c r="A69" s="13"/>
      <c r="B69" s="13"/>
    </row>
    <row r="70" spans="1:2" ht="15.75" customHeight="1" x14ac:dyDescent="0.2">
      <c r="A70" s="13"/>
      <c r="B70" s="13"/>
    </row>
    <row r="71" spans="1:2" ht="15.75" customHeight="1" x14ac:dyDescent="0.2"/>
    <row r="72" spans="1:2" ht="15.75" customHeight="1" x14ac:dyDescent="0.2"/>
    <row r="73" spans="1:2" ht="15.75" customHeight="1" x14ac:dyDescent="0.2"/>
    <row r="74" spans="1:2" ht="15.75" customHeight="1" x14ac:dyDescent="0.2"/>
    <row r="75" spans="1:2" ht="15.75" customHeight="1" x14ac:dyDescent="0.2"/>
    <row r="76" spans="1:2" ht="15.75" customHeight="1" x14ac:dyDescent="0.2"/>
    <row r="77" spans="1:2" ht="15.75" customHeight="1" x14ac:dyDescent="0.2"/>
    <row r="78" spans="1:2" ht="15.75" customHeight="1" x14ac:dyDescent="0.2"/>
    <row r="79" spans="1:2" ht="15.75" customHeight="1" x14ac:dyDescent="0.2"/>
    <row r="80" spans="1: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82CA-AA3E-4921-B051-27AA43280175}">
  <sheetPr codeName="Sheet7">
    <outlinePr summaryBelow="0" summaryRight="0"/>
  </sheetPr>
  <dimension ref="A1:J1000"/>
  <sheetViews>
    <sheetView zoomScaleNormal="100" workbookViewId="0">
      <selection activeCell="H2" sqref="H2"/>
    </sheetView>
  </sheetViews>
  <sheetFormatPr defaultColWidth="12.5703125" defaultRowHeight="15" customHeight="1" x14ac:dyDescent="0.2"/>
  <cols>
    <col min="1" max="6" width="12.5703125" customWidth="1"/>
    <col min="7" max="7" width="26" style="13" bestFit="1" customWidth="1"/>
    <col min="8" max="8" width="19.28515625" customWidth="1"/>
    <col min="9" max="9" width="134.42578125" bestFit="1" customWidth="1"/>
    <col min="10" max="10" width="27.28515625" style="13" bestFit="1" customWidth="1"/>
  </cols>
  <sheetData>
    <row r="1" spans="1:9" ht="15.75" customHeight="1" x14ac:dyDescent="0.25">
      <c r="A1" s="19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121</v>
      </c>
      <c r="H1" s="7" t="s">
        <v>121</v>
      </c>
      <c r="I1" s="2" t="s">
        <v>13</v>
      </c>
    </row>
    <row r="2" spans="1:9" ht="15.75" customHeight="1" x14ac:dyDescent="0.25">
      <c r="A2" s="26" t="s">
        <v>25</v>
      </c>
      <c r="B2" s="27" t="s">
        <v>61</v>
      </c>
      <c r="C2" s="26" t="s">
        <v>27</v>
      </c>
      <c r="D2" s="30">
        <v>1000</v>
      </c>
      <c r="E2" s="26">
        <v>30</v>
      </c>
      <c r="F2" s="26" t="s">
        <v>28</v>
      </c>
      <c r="G2" s="32" t="s">
        <v>124</v>
      </c>
      <c r="H2" s="33">
        <f>DATEVALUE(G2)</f>
        <v>46050</v>
      </c>
      <c r="I2" s="3" t="s">
        <v>14</v>
      </c>
    </row>
    <row r="3" spans="1:9" ht="15.75" customHeight="1" x14ac:dyDescent="0.25">
      <c r="A3" s="28" t="s">
        <v>29</v>
      </c>
      <c r="B3" s="29" t="s">
        <v>30</v>
      </c>
      <c r="C3" s="28" t="s">
        <v>31</v>
      </c>
      <c r="D3" s="31">
        <v>80</v>
      </c>
      <c r="E3" s="28">
        <v>15</v>
      </c>
      <c r="F3" s="28" t="s">
        <v>32</v>
      </c>
      <c r="G3" s="32" t="s">
        <v>125</v>
      </c>
      <c r="H3" s="33">
        <f t="shared" ref="H3:H32" si="0">DATEVALUE(G3)</f>
        <v>46068</v>
      </c>
      <c r="I3" s="3" t="s">
        <v>15</v>
      </c>
    </row>
    <row r="4" spans="1:9" ht="15.75" customHeight="1" x14ac:dyDescent="0.2">
      <c r="A4" s="26" t="s">
        <v>33</v>
      </c>
      <c r="B4" s="27" t="s">
        <v>34</v>
      </c>
      <c r="C4" s="26" t="s">
        <v>35</v>
      </c>
      <c r="D4" s="30">
        <v>130</v>
      </c>
      <c r="E4" s="26">
        <v>40</v>
      </c>
      <c r="F4" s="26" t="s">
        <v>36</v>
      </c>
      <c r="G4" s="32" t="s">
        <v>126</v>
      </c>
      <c r="H4" s="33">
        <f t="shared" si="0"/>
        <v>46084</v>
      </c>
    </row>
    <row r="5" spans="1:9" ht="15.75" customHeight="1" x14ac:dyDescent="0.2">
      <c r="A5" s="28" t="s">
        <v>37</v>
      </c>
      <c r="B5" s="29" t="s">
        <v>96</v>
      </c>
      <c r="C5" s="28" t="s">
        <v>39</v>
      </c>
      <c r="D5" s="31">
        <v>900</v>
      </c>
      <c r="E5" s="28">
        <v>25</v>
      </c>
      <c r="F5" s="28" t="s">
        <v>28</v>
      </c>
      <c r="G5" s="32" t="s">
        <v>127</v>
      </c>
      <c r="H5" s="33">
        <f t="shared" si="0"/>
        <v>46123</v>
      </c>
    </row>
    <row r="6" spans="1:9" ht="15.75" customHeight="1" x14ac:dyDescent="0.2">
      <c r="A6" s="26" t="s">
        <v>40</v>
      </c>
      <c r="B6" s="27" t="s">
        <v>41</v>
      </c>
      <c r="C6" s="26" t="s">
        <v>42</v>
      </c>
      <c r="D6" s="30">
        <v>70</v>
      </c>
      <c r="E6" s="26">
        <v>20</v>
      </c>
      <c r="F6" s="26" t="s">
        <v>116</v>
      </c>
      <c r="G6" s="32" t="s">
        <v>128</v>
      </c>
      <c r="H6" s="33">
        <f t="shared" si="0"/>
        <v>46164</v>
      </c>
    </row>
    <row r="7" spans="1:9" ht="15.75" customHeight="1" x14ac:dyDescent="0.2">
      <c r="A7" s="28" t="s">
        <v>43</v>
      </c>
      <c r="B7" s="29" t="s">
        <v>44</v>
      </c>
      <c r="C7" s="28" t="s">
        <v>45</v>
      </c>
      <c r="D7" s="31">
        <v>0</v>
      </c>
      <c r="E7" s="28">
        <v>45</v>
      </c>
      <c r="F7" s="28" t="s">
        <v>28</v>
      </c>
      <c r="G7" s="32" t="s">
        <v>129</v>
      </c>
      <c r="H7" s="33">
        <f t="shared" si="0"/>
        <v>46180</v>
      </c>
    </row>
    <row r="8" spans="1:9" ht="15.75" customHeight="1" x14ac:dyDescent="0.2">
      <c r="A8" s="26" t="s">
        <v>47</v>
      </c>
      <c r="B8" s="26" t="s">
        <v>117</v>
      </c>
      <c r="C8" s="26" t="s">
        <v>49</v>
      </c>
      <c r="D8" s="30">
        <v>30</v>
      </c>
      <c r="E8" s="26">
        <v>5</v>
      </c>
      <c r="F8" s="26" t="s">
        <v>32</v>
      </c>
      <c r="G8" s="32" t="s">
        <v>130</v>
      </c>
      <c r="H8" s="33">
        <f t="shared" si="0"/>
        <v>46222</v>
      </c>
    </row>
    <row r="9" spans="1:9" ht="15.75" customHeight="1" x14ac:dyDescent="0.2">
      <c r="A9" s="28" t="s">
        <v>50</v>
      </c>
      <c r="B9" s="28" t="s">
        <v>51</v>
      </c>
      <c r="C9" s="28" t="s">
        <v>52</v>
      </c>
      <c r="D9" s="31">
        <v>90</v>
      </c>
      <c r="E9" s="28">
        <v>35</v>
      </c>
      <c r="F9" s="28" t="s">
        <v>36</v>
      </c>
      <c r="G9" s="32" t="s">
        <v>131</v>
      </c>
      <c r="H9" s="33">
        <f t="shared" si="0"/>
        <v>46257</v>
      </c>
    </row>
    <row r="10" spans="1:9" ht="15.75" customHeight="1" x14ac:dyDescent="0.2">
      <c r="A10" s="26" t="s">
        <v>53</v>
      </c>
      <c r="B10" s="26" t="s">
        <v>54</v>
      </c>
      <c r="C10" s="26" t="s">
        <v>55</v>
      </c>
      <c r="D10" s="30">
        <v>500</v>
      </c>
      <c r="E10" s="26">
        <v>50</v>
      </c>
      <c r="F10" s="26" t="s">
        <v>28</v>
      </c>
      <c r="G10" s="32" t="s">
        <v>132</v>
      </c>
      <c r="H10" s="33">
        <f t="shared" si="0"/>
        <v>46270</v>
      </c>
    </row>
    <row r="11" spans="1:9" ht="15.75" customHeight="1" x14ac:dyDescent="0.2">
      <c r="A11" s="28" t="s">
        <v>56</v>
      </c>
      <c r="B11" s="28" t="s">
        <v>57</v>
      </c>
      <c r="C11" s="28" t="s">
        <v>58</v>
      </c>
      <c r="D11" s="31">
        <v>130</v>
      </c>
      <c r="E11" s="28">
        <v>10</v>
      </c>
      <c r="F11" s="28" t="s">
        <v>59</v>
      </c>
      <c r="G11" s="32" t="s">
        <v>133</v>
      </c>
      <c r="H11" s="33">
        <f t="shared" si="0"/>
        <v>46309</v>
      </c>
    </row>
    <row r="12" spans="1:9" ht="15.75" customHeight="1" x14ac:dyDescent="0.2">
      <c r="A12" s="26" t="s">
        <v>60</v>
      </c>
      <c r="B12" s="26" t="s">
        <v>61</v>
      </c>
      <c r="C12" s="26" t="s">
        <v>62</v>
      </c>
      <c r="D12" s="30">
        <v>950</v>
      </c>
      <c r="E12" s="26">
        <v>25</v>
      </c>
      <c r="F12" s="26" t="s">
        <v>28</v>
      </c>
      <c r="G12" s="32" t="s">
        <v>134</v>
      </c>
      <c r="H12" s="33">
        <f t="shared" si="0"/>
        <v>46190</v>
      </c>
    </row>
    <row r="13" spans="1:9" ht="15.75" customHeight="1" x14ac:dyDescent="0.2">
      <c r="A13" s="28" t="s">
        <v>63</v>
      </c>
      <c r="B13" s="28" t="s">
        <v>30</v>
      </c>
      <c r="C13" s="28" t="s">
        <v>49</v>
      </c>
      <c r="D13" s="31">
        <v>90</v>
      </c>
      <c r="E13" s="28">
        <v>40</v>
      </c>
      <c r="F13" s="28" t="s">
        <v>116</v>
      </c>
      <c r="G13" s="32" t="s">
        <v>135</v>
      </c>
      <c r="H13" s="33">
        <f t="shared" si="0"/>
        <v>46351</v>
      </c>
    </row>
    <row r="14" spans="1:9" ht="15.75" customHeight="1" x14ac:dyDescent="0.2">
      <c r="A14" s="26" t="s">
        <v>64</v>
      </c>
      <c r="B14" s="26" t="s">
        <v>34</v>
      </c>
      <c r="C14" s="26" t="s">
        <v>65</v>
      </c>
      <c r="D14" s="30">
        <v>120</v>
      </c>
      <c r="E14" s="26">
        <v>35</v>
      </c>
      <c r="F14" s="26" t="s">
        <v>116</v>
      </c>
      <c r="G14" s="32" t="s">
        <v>136</v>
      </c>
      <c r="H14" s="33">
        <f t="shared" si="0"/>
        <v>46364</v>
      </c>
    </row>
    <row r="15" spans="1:9" ht="15.75" customHeight="1" x14ac:dyDescent="0.2">
      <c r="A15" s="28" t="s">
        <v>66</v>
      </c>
      <c r="B15" s="28" t="s">
        <v>67</v>
      </c>
      <c r="C15" s="28" t="s">
        <v>68</v>
      </c>
      <c r="D15" s="31">
        <v>150</v>
      </c>
      <c r="E15" s="28">
        <v>15</v>
      </c>
      <c r="F15" s="28" t="s">
        <v>28</v>
      </c>
      <c r="G15" s="32" t="s">
        <v>137</v>
      </c>
      <c r="H15" s="33">
        <f t="shared" si="0"/>
        <v>46071</v>
      </c>
    </row>
    <row r="16" spans="1:9" ht="15.75" customHeight="1" x14ac:dyDescent="0.2">
      <c r="A16" s="26" t="s">
        <v>69</v>
      </c>
      <c r="B16" s="26" t="s">
        <v>44</v>
      </c>
      <c r="C16" s="26" t="s">
        <v>71</v>
      </c>
      <c r="D16" s="30">
        <v>250</v>
      </c>
      <c r="E16" s="26">
        <v>20</v>
      </c>
      <c r="F16" s="26" t="s">
        <v>28</v>
      </c>
      <c r="G16" s="32" t="s">
        <v>138</v>
      </c>
      <c r="H16" s="33">
        <f t="shared" si="0"/>
        <v>46128</v>
      </c>
    </row>
    <row r="17" spans="1:8" ht="15.75" customHeight="1" x14ac:dyDescent="0.2">
      <c r="A17" s="28" t="s">
        <v>72</v>
      </c>
      <c r="B17" s="28" t="s">
        <v>73</v>
      </c>
      <c r="C17" s="28" t="s">
        <v>74</v>
      </c>
      <c r="D17" s="31">
        <v>50</v>
      </c>
      <c r="E17" s="28">
        <v>35</v>
      </c>
      <c r="F17" s="28" t="s">
        <v>75</v>
      </c>
      <c r="G17" s="32" t="s">
        <v>139</v>
      </c>
      <c r="H17" s="33">
        <f t="shared" si="0"/>
        <v>46255</v>
      </c>
    </row>
    <row r="18" spans="1:8" ht="15.75" customHeight="1" x14ac:dyDescent="0.2">
      <c r="A18" s="26" t="s">
        <v>76</v>
      </c>
      <c r="B18" s="26" t="s">
        <v>67</v>
      </c>
      <c r="C18" s="26" t="s">
        <v>77</v>
      </c>
      <c r="D18" s="30">
        <v>160</v>
      </c>
      <c r="E18" s="26">
        <v>15</v>
      </c>
      <c r="F18" s="26" t="s">
        <v>28</v>
      </c>
      <c r="G18" s="32" t="s">
        <v>140</v>
      </c>
      <c r="H18" s="33">
        <f t="shared" si="0"/>
        <v>46254</v>
      </c>
    </row>
    <row r="19" spans="1:8" ht="15.75" customHeight="1" x14ac:dyDescent="0.2">
      <c r="A19" s="28" t="s">
        <v>78</v>
      </c>
      <c r="B19" s="28" t="s">
        <v>61</v>
      </c>
      <c r="C19" s="28" t="s">
        <v>79</v>
      </c>
      <c r="D19" s="31">
        <v>980</v>
      </c>
      <c r="E19" s="28">
        <v>10</v>
      </c>
      <c r="F19" s="28" t="s">
        <v>28</v>
      </c>
      <c r="G19" s="32" t="s">
        <v>141</v>
      </c>
      <c r="H19" s="33">
        <f t="shared" si="0"/>
        <v>46049</v>
      </c>
    </row>
    <row r="20" spans="1:8" ht="15.75" customHeight="1" x14ac:dyDescent="0.2">
      <c r="A20" s="26" t="s">
        <v>80</v>
      </c>
      <c r="B20" s="26" t="s">
        <v>81</v>
      </c>
      <c r="C20" s="26" t="s">
        <v>82</v>
      </c>
      <c r="D20" s="30">
        <v>150</v>
      </c>
      <c r="E20" s="26">
        <v>15</v>
      </c>
      <c r="F20" s="26" t="s">
        <v>32</v>
      </c>
      <c r="G20" s="32" t="s">
        <v>142</v>
      </c>
      <c r="H20" s="33">
        <f t="shared" si="0"/>
        <v>46082</v>
      </c>
    </row>
    <row r="21" spans="1:8" ht="15.75" customHeight="1" x14ac:dyDescent="0.2">
      <c r="A21" s="28" t="s">
        <v>83</v>
      </c>
      <c r="B21" s="28" t="s">
        <v>84</v>
      </c>
      <c r="C21" s="28" t="s">
        <v>85</v>
      </c>
      <c r="D21" s="31">
        <v>0</v>
      </c>
      <c r="E21" s="28">
        <v>10</v>
      </c>
      <c r="F21" s="28" t="s">
        <v>59</v>
      </c>
      <c r="G21" s="32" t="s">
        <v>143</v>
      </c>
      <c r="H21" s="33">
        <f t="shared" si="0"/>
        <v>46248</v>
      </c>
    </row>
    <row r="22" spans="1:8" ht="15.75" customHeight="1" x14ac:dyDescent="0.2">
      <c r="A22" s="26" t="s">
        <v>86</v>
      </c>
      <c r="B22" s="26" t="s">
        <v>87</v>
      </c>
      <c r="C22" s="26" t="s">
        <v>88</v>
      </c>
      <c r="D22" s="30">
        <v>700</v>
      </c>
      <c r="E22" s="26">
        <v>50</v>
      </c>
      <c r="F22" s="26" t="s">
        <v>28</v>
      </c>
      <c r="G22" s="32" t="s">
        <v>144</v>
      </c>
      <c r="H22" s="33">
        <f t="shared" si="0"/>
        <v>46156</v>
      </c>
    </row>
    <row r="23" spans="1:8" ht="15.75" customHeight="1" x14ac:dyDescent="0.2">
      <c r="A23" s="28" t="s">
        <v>89</v>
      </c>
      <c r="B23" s="29" t="s">
        <v>90</v>
      </c>
      <c r="C23" s="28" t="s">
        <v>91</v>
      </c>
      <c r="D23" s="31">
        <v>80</v>
      </c>
      <c r="E23" s="28">
        <v>20</v>
      </c>
      <c r="F23" s="28" t="s">
        <v>36</v>
      </c>
      <c r="G23" s="32" t="s">
        <v>145</v>
      </c>
      <c r="H23" s="33">
        <f t="shared" si="0"/>
        <v>46031</v>
      </c>
    </row>
    <row r="24" spans="1:8" ht="15.75" customHeight="1" x14ac:dyDescent="0.2">
      <c r="A24" s="26" t="s">
        <v>92</v>
      </c>
      <c r="B24" s="27" t="s">
        <v>93</v>
      </c>
      <c r="C24" s="26" t="s">
        <v>94</v>
      </c>
      <c r="D24" s="30">
        <v>150</v>
      </c>
      <c r="E24" s="26">
        <v>30</v>
      </c>
      <c r="F24" s="26" t="s">
        <v>116</v>
      </c>
      <c r="G24" s="32" t="s">
        <v>130</v>
      </c>
      <c r="H24" s="33">
        <f t="shared" si="0"/>
        <v>46222</v>
      </c>
    </row>
    <row r="25" spans="1:8" ht="15.75" customHeight="1" x14ac:dyDescent="0.2">
      <c r="A25" s="26" t="s">
        <v>95</v>
      </c>
      <c r="B25" s="27" t="s">
        <v>96</v>
      </c>
      <c r="C25" s="26" t="s">
        <v>97</v>
      </c>
      <c r="D25" s="30">
        <v>800</v>
      </c>
      <c r="E25" s="26">
        <v>45</v>
      </c>
      <c r="F25" s="26" t="s">
        <v>28</v>
      </c>
      <c r="G25" s="32" t="s">
        <v>146</v>
      </c>
      <c r="H25" s="33">
        <f t="shared" si="0"/>
        <v>46294</v>
      </c>
    </row>
    <row r="26" spans="1:8" ht="15.75" customHeight="1" x14ac:dyDescent="0.2">
      <c r="A26" s="28" t="s">
        <v>98</v>
      </c>
      <c r="B26" s="29" t="s">
        <v>81</v>
      </c>
      <c r="C26" s="28" t="s">
        <v>99</v>
      </c>
      <c r="D26" s="31">
        <v>0</v>
      </c>
      <c r="E26" s="28">
        <v>25</v>
      </c>
      <c r="F26" s="28" t="s">
        <v>32</v>
      </c>
      <c r="G26" s="32" t="s">
        <v>147</v>
      </c>
      <c r="H26" s="33">
        <f t="shared" si="0"/>
        <v>46176</v>
      </c>
    </row>
    <row r="27" spans="1:8" ht="15.75" customHeight="1" x14ac:dyDescent="0.2">
      <c r="A27" s="26" t="s">
        <v>100</v>
      </c>
      <c r="B27" s="27" t="s">
        <v>51</v>
      </c>
      <c r="C27" s="26" t="s">
        <v>101</v>
      </c>
      <c r="D27" s="30">
        <v>400</v>
      </c>
      <c r="E27" s="26">
        <v>40</v>
      </c>
      <c r="F27" s="26" t="s">
        <v>36</v>
      </c>
      <c r="G27" s="32" t="s">
        <v>148</v>
      </c>
      <c r="H27" s="33">
        <f t="shared" si="0"/>
        <v>46214</v>
      </c>
    </row>
    <row r="28" spans="1:8" ht="15.75" customHeight="1" x14ac:dyDescent="0.2">
      <c r="A28" s="26" t="s">
        <v>102</v>
      </c>
      <c r="B28" s="27" t="s">
        <v>103</v>
      </c>
      <c r="C28" s="26" t="s">
        <v>104</v>
      </c>
      <c r="D28" s="30">
        <v>60</v>
      </c>
      <c r="E28" s="26">
        <v>30</v>
      </c>
      <c r="F28" s="26" t="s">
        <v>32</v>
      </c>
      <c r="G28" s="32" t="s">
        <v>149</v>
      </c>
      <c r="H28" s="33">
        <f t="shared" si="0"/>
        <v>46088</v>
      </c>
    </row>
    <row r="29" spans="1:8" ht="15.75" customHeight="1" x14ac:dyDescent="0.2">
      <c r="A29" s="28" t="s">
        <v>105</v>
      </c>
      <c r="B29" s="29" t="s">
        <v>106</v>
      </c>
      <c r="C29" s="28" t="s">
        <v>107</v>
      </c>
      <c r="D29" s="31">
        <v>40</v>
      </c>
      <c r="E29" s="28">
        <v>10</v>
      </c>
      <c r="F29" s="28" t="s">
        <v>36</v>
      </c>
      <c r="G29" s="32" t="s">
        <v>150</v>
      </c>
      <c r="H29" s="33">
        <f t="shared" si="0"/>
        <v>46125</v>
      </c>
    </row>
    <row r="30" spans="1:8" ht="15.75" customHeight="1" x14ac:dyDescent="0.2">
      <c r="A30" s="26" t="s">
        <v>108</v>
      </c>
      <c r="B30" s="27" t="s">
        <v>93</v>
      </c>
      <c r="C30" s="26" t="s">
        <v>109</v>
      </c>
      <c r="D30" s="30">
        <v>130</v>
      </c>
      <c r="E30" s="26">
        <v>5</v>
      </c>
      <c r="F30" s="26" t="s">
        <v>28</v>
      </c>
      <c r="G30" s="32" t="s">
        <v>151</v>
      </c>
      <c r="H30" s="33">
        <f t="shared" si="0"/>
        <v>46166</v>
      </c>
    </row>
    <row r="31" spans="1:8" ht="15.75" customHeight="1" x14ac:dyDescent="0.2">
      <c r="A31" s="28" t="s">
        <v>110</v>
      </c>
      <c r="B31" s="29" t="s">
        <v>111</v>
      </c>
      <c r="C31" s="28" t="s">
        <v>112</v>
      </c>
      <c r="D31" s="31">
        <v>50</v>
      </c>
      <c r="E31" s="28">
        <v>50</v>
      </c>
      <c r="F31" s="28" t="s">
        <v>32</v>
      </c>
      <c r="G31" s="32" t="s">
        <v>152</v>
      </c>
      <c r="H31" s="33">
        <f t="shared" si="0"/>
        <v>46358</v>
      </c>
    </row>
    <row r="32" spans="1:8" ht="15.75" customHeight="1" x14ac:dyDescent="0.2">
      <c r="A32" s="28" t="s">
        <v>113</v>
      </c>
      <c r="B32" s="29" t="s">
        <v>114</v>
      </c>
      <c r="C32" s="28" t="s">
        <v>115</v>
      </c>
      <c r="D32" s="31">
        <v>100</v>
      </c>
      <c r="E32" s="28">
        <v>20</v>
      </c>
      <c r="F32" s="28" t="s">
        <v>75</v>
      </c>
      <c r="G32" s="32" t="s">
        <v>153</v>
      </c>
      <c r="H32" s="33">
        <f t="shared" si="0"/>
        <v>46212</v>
      </c>
    </row>
    <row r="33" spans="1:2" ht="15.75" customHeight="1" x14ac:dyDescent="0.2"/>
    <row r="34" spans="1:2" ht="15.75" customHeight="1" x14ac:dyDescent="0.2"/>
    <row r="35" spans="1:2" ht="15.75" customHeight="1" x14ac:dyDescent="0.2"/>
    <row r="36" spans="1:2" ht="15.75" customHeight="1" x14ac:dyDescent="0.2"/>
    <row r="37" spans="1:2" ht="15.75" customHeight="1" x14ac:dyDescent="0.2">
      <c r="A37" s="13"/>
      <c r="B37" s="13"/>
    </row>
    <row r="38" spans="1:2" ht="15.75" customHeight="1" x14ac:dyDescent="0.2">
      <c r="A38" s="13"/>
      <c r="B38" s="13"/>
    </row>
    <row r="39" spans="1:2" ht="15.75" customHeight="1" x14ac:dyDescent="0.2">
      <c r="A39" s="13"/>
      <c r="B39" s="13"/>
    </row>
    <row r="40" spans="1:2" ht="15.75" customHeight="1" x14ac:dyDescent="0.2">
      <c r="A40" s="13"/>
      <c r="B40" s="13"/>
    </row>
    <row r="41" spans="1:2" ht="15.75" customHeight="1" x14ac:dyDescent="0.2">
      <c r="A41" s="13"/>
      <c r="B41" s="13"/>
    </row>
    <row r="42" spans="1:2" ht="15.75" customHeight="1" x14ac:dyDescent="0.2">
      <c r="A42" s="13"/>
      <c r="B42" s="13"/>
    </row>
    <row r="43" spans="1:2" ht="15.75" customHeight="1" x14ac:dyDescent="0.2">
      <c r="A43" s="13"/>
      <c r="B43" s="13"/>
    </row>
    <row r="44" spans="1:2" ht="15.75" customHeight="1" x14ac:dyDescent="0.2">
      <c r="A44" s="13"/>
      <c r="B44" s="13"/>
    </row>
    <row r="45" spans="1:2" ht="15.75" customHeight="1" x14ac:dyDescent="0.2">
      <c r="A45" s="13"/>
      <c r="B45" s="13"/>
    </row>
    <row r="46" spans="1:2" ht="15.75" customHeight="1" x14ac:dyDescent="0.2">
      <c r="A46" s="13"/>
      <c r="B46" s="13"/>
    </row>
    <row r="47" spans="1:2" ht="15.75" customHeight="1" x14ac:dyDescent="0.2">
      <c r="A47" s="13"/>
      <c r="B47" s="13"/>
    </row>
    <row r="48" spans="1:2" ht="15.75" customHeight="1" x14ac:dyDescent="0.2">
      <c r="A48" s="13"/>
      <c r="B48" s="13"/>
    </row>
    <row r="49" spans="1:2" ht="15.75" customHeight="1" x14ac:dyDescent="0.2">
      <c r="A49" s="13"/>
      <c r="B49" s="13"/>
    </row>
    <row r="50" spans="1:2" ht="15.75" customHeight="1" x14ac:dyDescent="0.2">
      <c r="A50" s="13"/>
      <c r="B50" s="13"/>
    </row>
    <row r="51" spans="1:2" ht="15.75" customHeight="1" x14ac:dyDescent="0.2">
      <c r="A51" s="13"/>
      <c r="B51" s="13"/>
    </row>
    <row r="52" spans="1:2" ht="15.75" customHeight="1" x14ac:dyDescent="0.2">
      <c r="A52" s="13"/>
      <c r="B52" s="13"/>
    </row>
    <row r="53" spans="1:2" ht="15.75" customHeight="1" x14ac:dyDescent="0.2">
      <c r="A53" s="13"/>
      <c r="B53" s="13"/>
    </row>
    <row r="54" spans="1:2" ht="15.75" customHeight="1" x14ac:dyDescent="0.2">
      <c r="A54" s="13"/>
      <c r="B54" s="13"/>
    </row>
    <row r="55" spans="1:2" ht="15.75" customHeight="1" x14ac:dyDescent="0.2">
      <c r="A55" s="13"/>
      <c r="B55" s="13"/>
    </row>
    <row r="56" spans="1:2" ht="15.75" customHeight="1" x14ac:dyDescent="0.2">
      <c r="A56" s="13"/>
      <c r="B56" s="13"/>
    </row>
    <row r="57" spans="1:2" ht="15.75" customHeight="1" x14ac:dyDescent="0.2">
      <c r="A57" s="13"/>
      <c r="B57" s="13"/>
    </row>
    <row r="58" spans="1:2" ht="15.75" customHeight="1" x14ac:dyDescent="0.2">
      <c r="A58" s="13"/>
      <c r="B58" s="13"/>
    </row>
    <row r="59" spans="1:2" ht="15.75" customHeight="1" x14ac:dyDescent="0.2">
      <c r="A59" s="13"/>
      <c r="B59" s="13"/>
    </row>
    <row r="60" spans="1:2" ht="15.75" customHeight="1" x14ac:dyDescent="0.2">
      <c r="A60" s="13"/>
      <c r="B60" s="13"/>
    </row>
    <row r="61" spans="1:2" ht="15.75" customHeight="1" x14ac:dyDescent="0.2">
      <c r="A61" s="13"/>
      <c r="B61" s="13"/>
    </row>
    <row r="62" spans="1:2" ht="15.75" customHeight="1" x14ac:dyDescent="0.2">
      <c r="A62" s="13"/>
      <c r="B62" s="13"/>
    </row>
    <row r="63" spans="1:2" ht="15.75" customHeight="1" x14ac:dyDescent="0.2">
      <c r="A63" s="13"/>
      <c r="B63" s="13"/>
    </row>
    <row r="64" spans="1:2" ht="15.75" customHeight="1" x14ac:dyDescent="0.2">
      <c r="A64" s="13"/>
      <c r="B64" s="13"/>
    </row>
    <row r="65" spans="1:2" ht="15.75" customHeight="1" x14ac:dyDescent="0.2">
      <c r="A65" s="13"/>
      <c r="B65" s="13"/>
    </row>
    <row r="66" spans="1:2" ht="15.75" customHeight="1" x14ac:dyDescent="0.2">
      <c r="A66" s="13"/>
      <c r="B66" s="13"/>
    </row>
    <row r="67" spans="1:2" ht="15.75" customHeight="1" x14ac:dyDescent="0.2">
      <c r="A67" s="13"/>
      <c r="B67" s="13"/>
    </row>
    <row r="68" spans="1:2" ht="15.75" customHeight="1" x14ac:dyDescent="0.2">
      <c r="A68" s="13"/>
      <c r="B68" s="13"/>
    </row>
    <row r="69" spans="1:2" ht="15.75" customHeight="1" x14ac:dyDescent="0.2">
      <c r="A69" s="13"/>
      <c r="B69" s="13"/>
    </row>
    <row r="70" spans="1:2" ht="15.75" customHeight="1" x14ac:dyDescent="0.2">
      <c r="A70" s="13"/>
      <c r="B70" s="13"/>
    </row>
    <row r="71" spans="1:2" ht="15.75" customHeight="1" x14ac:dyDescent="0.2"/>
    <row r="72" spans="1:2" ht="15.75" customHeight="1" x14ac:dyDescent="0.2"/>
    <row r="73" spans="1:2" ht="15.75" customHeight="1" x14ac:dyDescent="0.2"/>
    <row r="74" spans="1:2" ht="15.75" customHeight="1" x14ac:dyDescent="0.2"/>
    <row r="75" spans="1:2" ht="15.75" customHeight="1" x14ac:dyDescent="0.2"/>
    <row r="76" spans="1:2" ht="15.75" customHeight="1" x14ac:dyDescent="0.2"/>
    <row r="77" spans="1:2" ht="15.75" customHeight="1" x14ac:dyDescent="0.2"/>
    <row r="78" spans="1:2" ht="15.75" customHeight="1" x14ac:dyDescent="0.2"/>
    <row r="79" spans="1:2" ht="15.75" customHeight="1" x14ac:dyDescent="0.2"/>
    <row r="80" spans="1: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1">
    <dataValidation type="date" operator="equal" allowBlank="1" showInputMessage="1" showErrorMessage="1" sqref="G2" xr:uid="{4FBE6A78-9408-440B-9F40-5E1275D5D76D}">
      <formula1>G2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304B-E9F0-4156-8A27-C621B3713EE4}">
  <sheetPr codeName="Sheet8">
    <outlinePr summaryBelow="0" summaryRight="0"/>
  </sheetPr>
  <dimension ref="A1:I1000"/>
  <sheetViews>
    <sheetView tabSelected="1" zoomScale="85" zoomScaleNormal="85" workbookViewId="0">
      <selection activeCell="I15" sqref="I15"/>
    </sheetView>
  </sheetViews>
  <sheetFormatPr defaultColWidth="12.5703125" defaultRowHeight="15" customHeight="1" x14ac:dyDescent="0.2"/>
  <cols>
    <col min="1" max="4" width="12.5703125" customWidth="1"/>
    <col min="5" max="5" width="12.5703125" style="13" customWidth="1"/>
    <col min="6" max="6" width="12.5703125" customWidth="1"/>
    <col min="7" max="7" width="22.28515625" style="13" customWidth="1"/>
    <col min="8" max="8" width="12.85546875" customWidth="1"/>
    <col min="9" max="10" width="127.42578125" bestFit="1" customWidth="1"/>
  </cols>
  <sheetData>
    <row r="1" spans="1:9" ht="15.75" customHeight="1" x14ac:dyDescent="0.25">
      <c r="A1" s="19" t="s">
        <v>19</v>
      </c>
      <c r="B1" s="19" t="s">
        <v>20</v>
      </c>
      <c r="C1" s="19" t="s">
        <v>21</v>
      </c>
      <c r="D1" s="19" t="s">
        <v>22</v>
      </c>
      <c r="E1" s="19" t="s">
        <v>23</v>
      </c>
      <c r="F1" s="19" t="s">
        <v>24</v>
      </c>
      <c r="G1" s="19" t="s">
        <v>121</v>
      </c>
      <c r="I1" s="2" t="s">
        <v>16</v>
      </c>
    </row>
    <row r="2" spans="1:9" ht="15.75" customHeight="1" x14ac:dyDescent="0.25">
      <c r="A2" s="26" t="s">
        <v>25</v>
      </c>
      <c r="B2" s="27" t="s">
        <v>61</v>
      </c>
      <c r="C2" s="26" t="s">
        <v>27</v>
      </c>
      <c r="D2" s="30">
        <v>1000</v>
      </c>
      <c r="E2" s="35">
        <v>30</v>
      </c>
      <c r="F2" s="26" t="s">
        <v>28</v>
      </c>
      <c r="G2" s="32" t="s">
        <v>124</v>
      </c>
      <c r="I2" s="3" t="s">
        <v>17</v>
      </c>
    </row>
    <row r="3" spans="1:9" ht="15.75" customHeight="1" x14ac:dyDescent="0.25">
      <c r="A3" s="28" t="s">
        <v>29</v>
      </c>
      <c r="B3" s="29" t="s">
        <v>30</v>
      </c>
      <c r="C3" s="28" t="s">
        <v>31</v>
      </c>
      <c r="D3" s="31">
        <v>80</v>
      </c>
      <c r="E3" s="36">
        <v>15</v>
      </c>
      <c r="F3" s="28" t="s">
        <v>32</v>
      </c>
      <c r="G3" s="32" t="s">
        <v>125</v>
      </c>
      <c r="I3" s="3" t="s">
        <v>18</v>
      </c>
    </row>
    <row r="4" spans="1:9" ht="15.75" customHeight="1" x14ac:dyDescent="0.2">
      <c r="A4" s="26" t="s">
        <v>33</v>
      </c>
      <c r="B4" s="27" t="s">
        <v>34</v>
      </c>
      <c r="C4" s="26" t="s">
        <v>35</v>
      </c>
      <c r="D4" s="30">
        <v>130</v>
      </c>
      <c r="E4" s="35">
        <v>40</v>
      </c>
      <c r="F4" s="26" t="s">
        <v>36</v>
      </c>
      <c r="G4" s="32" t="s">
        <v>126</v>
      </c>
      <c r="H4" s="34"/>
    </row>
    <row r="5" spans="1:9" ht="15.75" customHeight="1" x14ac:dyDescent="0.2">
      <c r="A5" s="28" t="s">
        <v>37</v>
      </c>
      <c r="B5" s="29" t="s">
        <v>96</v>
      </c>
      <c r="C5" s="28" t="s">
        <v>39</v>
      </c>
      <c r="D5" s="31">
        <v>900</v>
      </c>
      <c r="E5" s="36">
        <v>25</v>
      </c>
      <c r="F5" s="28" t="s">
        <v>28</v>
      </c>
      <c r="G5" s="32" t="s">
        <v>127</v>
      </c>
      <c r="H5" s="34"/>
    </row>
    <row r="6" spans="1:9" ht="15.75" customHeight="1" x14ac:dyDescent="0.2">
      <c r="A6" s="26" t="s">
        <v>40</v>
      </c>
      <c r="B6" s="27" t="s">
        <v>41</v>
      </c>
      <c r="C6" s="26" t="s">
        <v>42</v>
      </c>
      <c r="D6" s="30">
        <v>70</v>
      </c>
      <c r="E6" s="35">
        <v>20</v>
      </c>
      <c r="F6" s="26" t="s">
        <v>116</v>
      </c>
      <c r="G6" s="32" t="s">
        <v>128</v>
      </c>
      <c r="H6" s="34"/>
    </row>
    <row r="7" spans="1:9" ht="15.75" customHeight="1" x14ac:dyDescent="0.2">
      <c r="A7" s="28" t="s">
        <v>43</v>
      </c>
      <c r="B7" s="29" t="s">
        <v>44</v>
      </c>
      <c r="C7" s="28" t="s">
        <v>45</v>
      </c>
      <c r="D7" s="31">
        <v>0</v>
      </c>
      <c r="E7" s="36">
        <v>45</v>
      </c>
      <c r="F7" s="28" t="s">
        <v>28</v>
      </c>
      <c r="G7" s="32" t="s">
        <v>129</v>
      </c>
      <c r="H7" s="34"/>
    </row>
    <row r="8" spans="1:9" ht="15.75" customHeight="1" x14ac:dyDescent="0.2">
      <c r="A8" s="26" t="s">
        <v>47</v>
      </c>
      <c r="B8" s="26" t="s">
        <v>117</v>
      </c>
      <c r="C8" s="26" t="s">
        <v>49</v>
      </c>
      <c r="D8" s="30">
        <v>30</v>
      </c>
      <c r="E8" s="35">
        <v>5</v>
      </c>
      <c r="F8" s="26" t="s">
        <v>32</v>
      </c>
      <c r="G8" s="32" t="s">
        <v>130</v>
      </c>
      <c r="H8" s="34"/>
    </row>
    <row r="9" spans="1:9" ht="15.75" customHeight="1" x14ac:dyDescent="0.2">
      <c r="A9" s="28" t="s">
        <v>50</v>
      </c>
      <c r="B9" s="28" t="s">
        <v>51</v>
      </c>
      <c r="C9" s="28" t="s">
        <v>52</v>
      </c>
      <c r="D9" s="31">
        <v>90</v>
      </c>
      <c r="E9" s="36">
        <v>35</v>
      </c>
      <c r="F9" s="28" t="s">
        <v>36</v>
      </c>
      <c r="G9" s="32" t="s">
        <v>131</v>
      </c>
      <c r="H9" s="34"/>
    </row>
    <row r="10" spans="1:9" ht="15.75" customHeight="1" x14ac:dyDescent="0.2">
      <c r="A10" s="26" t="s">
        <v>53</v>
      </c>
      <c r="B10" s="26" t="s">
        <v>54</v>
      </c>
      <c r="C10" s="26" t="s">
        <v>55</v>
      </c>
      <c r="D10" s="30">
        <v>500</v>
      </c>
      <c r="E10" s="35">
        <v>50</v>
      </c>
      <c r="F10" s="26" t="s">
        <v>28</v>
      </c>
      <c r="G10" s="32" t="s">
        <v>132</v>
      </c>
      <c r="H10" s="34"/>
    </row>
    <row r="11" spans="1:9" ht="15.75" customHeight="1" x14ac:dyDescent="0.2">
      <c r="A11" s="28" t="s">
        <v>56</v>
      </c>
      <c r="B11" s="28" t="s">
        <v>57</v>
      </c>
      <c r="C11" s="28" t="s">
        <v>58</v>
      </c>
      <c r="D11" s="31">
        <v>130</v>
      </c>
      <c r="E11" s="36">
        <v>10</v>
      </c>
      <c r="F11" s="28" t="s">
        <v>59</v>
      </c>
      <c r="G11" s="32" t="s">
        <v>133</v>
      </c>
      <c r="H11" s="34"/>
    </row>
    <row r="12" spans="1:9" ht="15.75" customHeight="1" x14ac:dyDescent="0.2">
      <c r="A12" s="26" t="s">
        <v>60</v>
      </c>
      <c r="B12" s="26" t="s">
        <v>61</v>
      </c>
      <c r="C12" s="26" t="s">
        <v>62</v>
      </c>
      <c r="D12" s="30">
        <v>950</v>
      </c>
      <c r="E12" s="35">
        <v>25</v>
      </c>
      <c r="F12" s="26" t="s">
        <v>28</v>
      </c>
      <c r="G12" s="32" t="s">
        <v>134</v>
      </c>
      <c r="H12" s="34"/>
    </row>
    <row r="13" spans="1:9" ht="15.75" customHeight="1" x14ac:dyDescent="0.2">
      <c r="A13" s="28" t="s">
        <v>63</v>
      </c>
      <c r="B13" s="28" t="s">
        <v>30</v>
      </c>
      <c r="C13" s="28" t="s">
        <v>49</v>
      </c>
      <c r="D13" s="31">
        <v>90</v>
      </c>
      <c r="E13" s="36">
        <v>40</v>
      </c>
      <c r="F13" s="28" t="s">
        <v>116</v>
      </c>
      <c r="G13" s="32" t="s">
        <v>135</v>
      </c>
      <c r="H13" s="34"/>
    </row>
    <row r="14" spans="1:9" ht="15.75" customHeight="1" x14ac:dyDescent="0.2">
      <c r="A14" s="26" t="s">
        <v>64</v>
      </c>
      <c r="B14" s="26" t="s">
        <v>34</v>
      </c>
      <c r="C14" s="26" t="s">
        <v>65</v>
      </c>
      <c r="D14" s="30">
        <v>120</v>
      </c>
      <c r="E14" s="35">
        <v>35</v>
      </c>
      <c r="F14" s="26" t="s">
        <v>116</v>
      </c>
      <c r="G14" s="32" t="s">
        <v>136</v>
      </c>
      <c r="H14" s="34"/>
    </row>
    <row r="15" spans="1:9" ht="15.75" customHeight="1" x14ac:dyDescent="0.2">
      <c r="A15" s="28" t="s">
        <v>66</v>
      </c>
      <c r="B15" s="28" t="s">
        <v>67</v>
      </c>
      <c r="C15" s="28" t="s">
        <v>68</v>
      </c>
      <c r="D15" s="31">
        <v>150</v>
      </c>
      <c r="E15" s="36">
        <v>15</v>
      </c>
      <c r="F15" s="28" t="s">
        <v>28</v>
      </c>
      <c r="G15" s="32" t="s">
        <v>137</v>
      </c>
      <c r="H15" s="34"/>
    </row>
    <row r="16" spans="1:9" ht="15.75" customHeight="1" x14ac:dyDescent="0.2">
      <c r="A16" s="26" t="s">
        <v>69</v>
      </c>
      <c r="B16" s="26" t="s">
        <v>44</v>
      </c>
      <c r="C16" s="26" t="s">
        <v>71</v>
      </c>
      <c r="D16" s="30">
        <v>250</v>
      </c>
      <c r="E16" s="35">
        <v>20</v>
      </c>
      <c r="F16" s="26" t="s">
        <v>28</v>
      </c>
      <c r="G16" s="32" t="s">
        <v>138</v>
      </c>
      <c r="H16" s="34"/>
    </row>
    <row r="17" spans="1:8" ht="15.75" customHeight="1" x14ac:dyDescent="0.2">
      <c r="A17" s="28" t="s">
        <v>72</v>
      </c>
      <c r="B17" s="28" t="s">
        <v>73</v>
      </c>
      <c r="C17" s="28" t="s">
        <v>74</v>
      </c>
      <c r="D17" s="31">
        <v>50</v>
      </c>
      <c r="E17" s="36">
        <v>35</v>
      </c>
      <c r="F17" s="28" t="s">
        <v>75</v>
      </c>
      <c r="G17" s="32" t="s">
        <v>139</v>
      </c>
      <c r="H17" s="34"/>
    </row>
    <row r="18" spans="1:8" ht="15.75" customHeight="1" x14ac:dyDescent="0.2">
      <c r="A18" s="26" t="s">
        <v>76</v>
      </c>
      <c r="B18" s="26" t="s">
        <v>67</v>
      </c>
      <c r="C18" s="26" t="s">
        <v>77</v>
      </c>
      <c r="D18" s="30">
        <v>160</v>
      </c>
      <c r="E18" s="35">
        <v>15</v>
      </c>
      <c r="F18" s="26" t="s">
        <v>28</v>
      </c>
      <c r="G18" s="32" t="s">
        <v>140</v>
      </c>
      <c r="H18" s="34"/>
    </row>
    <row r="19" spans="1:8" ht="15.75" customHeight="1" x14ac:dyDescent="0.2">
      <c r="A19" s="28" t="s">
        <v>78</v>
      </c>
      <c r="B19" s="28" t="s">
        <v>61</v>
      </c>
      <c r="C19" s="28" t="s">
        <v>79</v>
      </c>
      <c r="D19" s="31">
        <v>980</v>
      </c>
      <c r="E19" s="36">
        <v>10</v>
      </c>
      <c r="F19" s="28" t="s">
        <v>28</v>
      </c>
      <c r="G19" s="32" t="s">
        <v>141</v>
      </c>
      <c r="H19" s="34"/>
    </row>
    <row r="20" spans="1:8" ht="15.75" customHeight="1" x14ac:dyDescent="0.2">
      <c r="A20" s="26" t="s">
        <v>80</v>
      </c>
      <c r="B20" s="26" t="s">
        <v>81</v>
      </c>
      <c r="C20" s="26" t="s">
        <v>82</v>
      </c>
      <c r="D20" s="30">
        <v>150</v>
      </c>
      <c r="E20" s="35">
        <v>15</v>
      </c>
      <c r="F20" s="26" t="s">
        <v>32</v>
      </c>
      <c r="G20" s="32" t="s">
        <v>142</v>
      </c>
      <c r="H20" s="34"/>
    </row>
    <row r="21" spans="1:8" ht="15.75" customHeight="1" x14ac:dyDescent="0.2">
      <c r="A21" s="28" t="s">
        <v>83</v>
      </c>
      <c r="B21" s="28" t="s">
        <v>84</v>
      </c>
      <c r="C21" s="28" t="s">
        <v>85</v>
      </c>
      <c r="D21" s="31">
        <v>0</v>
      </c>
      <c r="E21" s="36">
        <v>10</v>
      </c>
      <c r="F21" s="28" t="s">
        <v>59</v>
      </c>
      <c r="G21" s="32" t="s">
        <v>143</v>
      </c>
      <c r="H21" s="34"/>
    </row>
    <row r="22" spans="1:8" ht="15.75" customHeight="1" x14ac:dyDescent="0.2">
      <c r="A22" s="26" t="s">
        <v>86</v>
      </c>
      <c r="B22" s="26" t="s">
        <v>87</v>
      </c>
      <c r="C22" s="26" t="s">
        <v>88</v>
      </c>
      <c r="D22" s="30">
        <v>700</v>
      </c>
      <c r="E22" s="35">
        <v>50</v>
      </c>
      <c r="F22" s="26" t="s">
        <v>28</v>
      </c>
      <c r="G22" s="32" t="s">
        <v>144</v>
      </c>
      <c r="H22" s="34"/>
    </row>
    <row r="23" spans="1:8" ht="15.75" customHeight="1" x14ac:dyDescent="0.2">
      <c r="A23" s="28" t="s">
        <v>89</v>
      </c>
      <c r="B23" s="29" t="s">
        <v>90</v>
      </c>
      <c r="C23" s="28" t="s">
        <v>91</v>
      </c>
      <c r="D23" s="31">
        <v>80</v>
      </c>
      <c r="E23" s="36">
        <v>20</v>
      </c>
      <c r="F23" s="28" t="s">
        <v>36</v>
      </c>
      <c r="G23" s="32" t="s">
        <v>145</v>
      </c>
      <c r="H23" s="34"/>
    </row>
    <row r="24" spans="1:8" ht="15.75" customHeight="1" x14ac:dyDescent="0.2">
      <c r="A24" s="26" t="s">
        <v>92</v>
      </c>
      <c r="B24" s="27" t="s">
        <v>93</v>
      </c>
      <c r="C24" s="26" t="s">
        <v>94</v>
      </c>
      <c r="D24" s="30">
        <v>150</v>
      </c>
      <c r="E24" s="35">
        <v>30</v>
      </c>
      <c r="F24" s="26" t="s">
        <v>116</v>
      </c>
      <c r="G24" s="32" t="s">
        <v>130</v>
      </c>
      <c r="H24" s="34"/>
    </row>
    <row r="25" spans="1:8" ht="15.75" customHeight="1" x14ac:dyDescent="0.2">
      <c r="A25" s="26" t="s">
        <v>95</v>
      </c>
      <c r="B25" s="27" t="s">
        <v>96</v>
      </c>
      <c r="C25" s="26" t="s">
        <v>97</v>
      </c>
      <c r="D25" s="30">
        <v>800</v>
      </c>
      <c r="E25" s="35">
        <v>45</v>
      </c>
      <c r="F25" s="26" t="s">
        <v>28</v>
      </c>
      <c r="G25" s="32" t="s">
        <v>146</v>
      </c>
      <c r="H25" s="34"/>
    </row>
    <row r="26" spans="1:8" ht="15.75" customHeight="1" x14ac:dyDescent="0.2">
      <c r="A26" s="28" t="s">
        <v>98</v>
      </c>
      <c r="B26" s="29" t="s">
        <v>81</v>
      </c>
      <c r="C26" s="28" t="s">
        <v>99</v>
      </c>
      <c r="D26" s="31">
        <v>0</v>
      </c>
      <c r="E26" s="36">
        <v>25</v>
      </c>
      <c r="F26" s="28" t="s">
        <v>32</v>
      </c>
      <c r="G26" s="32" t="s">
        <v>147</v>
      </c>
      <c r="H26" s="34"/>
    </row>
    <row r="27" spans="1:8" ht="15.75" customHeight="1" x14ac:dyDescent="0.2">
      <c r="A27" s="26" t="s">
        <v>100</v>
      </c>
      <c r="B27" s="27" t="s">
        <v>51</v>
      </c>
      <c r="C27" s="26" t="s">
        <v>101</v>
      </c>
      <c r="D27" s="30">
        <v>400</v>
      </c>
      <c r="E27" s="35">
        <v>40</v>
      </c>
      <c r="F27" s="26" t="s">
        <v>36</v>
      </c>
      <c r="G27" s="32" t="s">
        <v>148</v>
      </c>
      <c r="H27" s="34"/>
    </row>
    <row r="28" spans="1:8" ht="15.75" customHeight="1" x14ac:dyDescent="0.2">
      <c r="A28" s="26" t="s">
        <v>102</v>
      </c>
      <c r="B28" s="27" t="s">
        <v>103</v>
      </c>
      <c r="C28" s="26" t="s">
        <v>104</v>
      </c>
      <c r="D28" s="30">
        <v>60</v>
      </c>
      <c r="E28" s="35">
        <v>30</v>
      </c>
      <c r="F28" s="26" t="s">
        <v>32</v>
      </c>
      <c r="G28" s="32" t="s">
        <v>149</v>
      </c>
      <c r="H28" s="34"/>
    </row>
    <row r="29" spans="1:8" ht="15.75" customHeight="1" x14ac:dyDescent="0.2">
      <c r="A29" s="28" t="s">
        <v>105</v>
      </c>
      <c r="B29" s="29" t="s">
        <v>106</v>
      </c>
      <c r="C29" s="28" t="s">
        <v>107</v>
      </c>
      <c r="D29" s="31">
        <v>40</v>
      </c>
      <c r="E29" s="36">
        <v>10</v>
      </c>
      <c r="F29" s="28" t="s">
        <v>36</v>
      </c>
      <c r="G29" s="32" t="s">
        <v>150</v>
      </c>
      <c r="H29" s="34"/>
    </row>
    <row r="30" spans="1:8" ht="15.75" customHeight="1" x14ac:dyDescent="0.2">
      <c r="A30" s="26" t="s">
        <v>108</v>
      </c>
      <c r="B30" s="27" t="s">
        <v>93</v>
      </c>
      <c r="C30" s="26" t="s">
        <v>109</v>
      </c>
      <c r="D30" s="30">
        <v>130</v>
      </c>
      <c r="E30" s="35">
        <v>5</v>
      </c>
      <c r="F30" s="26" t="s">
        <v>28</v>
      </c>
      <c r="G30" s="32" t="s">
        <v>151</v>
      </c>
      <c r="H30" s="34"/>
    </row>
    <row r="31" spans="1:8" ht="15.75" customHeight="1" x14ac:dyDescent="0.2">
      <c r="A31" s="28" t="s">
        <v>110</v>
      </c>
      <c r="B31" s="29" t="s">
        <v>111</v>
      </c>
      <c r="C31" s="28" t="s">
        <v>112</v>
      </c>
      <c r="D31" s="31">
        <v>50</v>
      </c>
      <c r="E31" s="36">
        <v>50</v>
      </c>
      <c r="F31" s="28" t="s">
        <v>32</v>
      </c>
      <c r="G31" s="32" t="s">
        <v>152</v>
      </c>
      <c r="H31" s="34"/>
    </row>
    <row r="32" spans="1:8" ht="15.75" customHeight="1" x14ac:dyDescent="0.2">
      <c r="A32" s="28" t="s">
        <v>113</v>
      </c>
      <c r="B32" s="29" t="s">
        <v>114</v>
      </c>
      <c r="C32" s="28" t="s">
        <v>115</v>
      </c>
      <c r="D32" s="31">
        <v>100</v>
      </c>
      <c r="E32" s="36">
        <v>20</v>
      </c>
      <c r="F32" s="28" t="s">
        <v>75</v>
      </c>
      <c r="G32" s="32" t="s">
        <v>153</v>
      </c>
      <c r="H32" s="34"/>
    </row>
    <row r="33" spans="1:2" ht="15.75" customHeight="1" x14ac:dyDescent="0.2"/>
    <row r="34" spans="1:2" ht="15.75" customHeight="1" x14ac:dyDescent="0.2"/>
    <row r="35" spans="1:2" ht="15.75" customHeight="1" x14ac:dyDescent="0.2"/>
    <row r="36" spans="1:2" ht="15.75" customHeight="1" x14ac:dyDescent="0.2"/>
    <row r="37" spans="1:2" ht="15.75" customHeight="1" x14ac:dyDescent="0.2">
      <c r="A37" s="13"/>
      <c r="B37" s="13"/>
    </row>
    <row r="38" spans="1:2" ht="15.75" customHeight="1" x14ac:dyDescent="0.2">
      <c r="A38" s="13"/>
      <c r="B38" s="13"/>
    </row>
    <row r="39" spans="1:2" ht="15.75" customHeight="1" x14ac:dyDescent="0.2">
      <c r="A39" s="13"/>
      <c r="B39" s="13"/>
    </row>
    <row r="40" spans="1:2" ht="15.75" customHeight="1" x14ac:dyDescent="0.2">
      <c r="A40" s="13"/>
      <c r="B40" s="13"/>
    </row>
    <row r="41" spans="1:2" ht="15.75" customHeight="1" x14ac:dyDescent="0.2">
      <c r="A41" s="13"/>
      <c r="B41" s="13"/>
    </row>
    <row r="42" spans="1:2" ht="15.75" customHeight="1" x14ac:dyDescent="0.2">
      <c r="A42" s="13"/>
      <c r="B42" s="13"/>
    </row>
    <row r="43" spans="1:2" ht="15.75" customHeight="1" x14ac:dyDescent="0.2">
      <c r="A43" s="13"/>
      <c r="B43" s="13"/>
    </row>
    <row r="44" spans="1:2" ht="15.75" customHeight="1" x14ac:dyDescent="0.2">
      <c r="A44" s="13"/>
      <c r="B44" s="13"/>
    </row>
    <row r="45" spans="1:2" ht="15.75" customHeight="1" x14ac:dyDescent="0.2">
      <c r="A45" s="13"/>
      <c r="B45" s="13"/>
    </row>
    <row r="46" spans="1:2" ht="15.75" customHeight="1" x14ac:dyDescent="0.2">
      <c r="A46" s="13"/>
      <c r="B46" s="13"/>
    </row>
    <row r="47" spans="1:2" ht="15.75" customHeight="1" x14ac:dyDescent="0.2">
      <c r="A47" s="13"/>
      <c r="B47" s="13"/>
    </row>
    <row r="48" spans="1:2" ht="15.75" customHeight="1" x14ac:dyDescent="0.2">
      <c r="A48" s="13"/>
      <c r="B48" s="13"/>
    </row>
    <row r="49" spans="1:2" ht="15.75" customHeight="1" x14ac:dyDescent="0.2">
      <c r="A49" s="13"/>
      <c r="B49" s="13"/>
    </row>
    <row r="50" spans="1:2" ht="15.75" customHeight="1" x14ac:dyDescent="0.2">
      <c r="A50" s="13"/>
      <c r="B50" s="13"/>
    </row>
    <row r="51" spans="1:2" ht="15.75" customHeight="1" x14ac:dyDescent="0.2">
      <c r="A51" s="13"/>
      <c r="B51" s="13"/>
    </row>
    <row r="52" spans="1:2" ht="15.75" customHeight="1" x14ac:dyDescent="0.2">
      <c r="A52" s="13"/>
      <c r="B52" s="13"/>
    </row>
    <row r="53" spans="1:2" ht="15.75" customHeight="1" x14ac:dyDescent="0.2">
      <c r="A53" s="13"/>
      <c r="B53" s="13"/>
    </row>
    <row r="54" spans="1:2" ht="15.75" customHeight="1" x14ac:dyDescent="0.2">
      <c r="A54" s="13"/>
      <c r="B54" s="13"/>
    </row>
    <row r="55" spans="1:2" ht="15.75" customHeight="1" x14ac:dyDescent="0.2">
      <c r="A55" s="13"/>
      <c r="B55" s="13"/>
    </row>
    <row r="56" spans="1:2" ht="15.75" customHeight="1" x14ac:dyDescent="0.2">
      <c r="A56" s="13"/>
      <c r="B56" s="13"/>
    </row>
    <row r="57" spans="1:2" ht="15.75" customHeight="1" x14ac:dyDescent="0.2">
      <c r="A57" s="13"/>
      <c r="B57" s="13"/>
    </row>
    <row r="58" spans="1:2" ht="15.75" customHeight="1" x14ac:dyDescent="0.2">
      <c r="A58" s="13"/>
      <c r="B58" s="13"/>
    </row>
    <row r="59" spans="1:2" ht="15.75" customHeight="1" x14ac:dyDescent="0.2">
      <c r="A59" s="13"/>
      <c r="B59" s="13"/>
    </row>
    <row r="60" spans="1:2" ht="15.75" customHeight="1" x14ac:dyDescent="0.2">
      <c r="A60" s="13"/>
      <c r="B60" s="13"/>
    </row>
    <row r="61" spans="1:2" ht="15.75" customHeight="1" x14ac:dyDescent="0.2">
      <c r="A61" s="13"/>
      <c r="B61" s="13"/>
    </row>
    <row r="62" spans="1:2" ht="15.75" customHeight="1" x14ac:dyDescent="0.2">
      <c r="A62" s="13"/>
      <c r="B62" s="13"/>
    </row>
    <row r="63" spans="1:2" ht="15.75" customHeight="1" x14ac:dyDescent="0.2">
      <c r="A63" s="13"/>
      <c r="B63" s="13"/>
    </row>
    <row r="64" spans="1:2" ht="15.75" customHeight="1" x14ac:dyDescent="0.2">
      <c r="A64" s="13"/>
      <c r="B64" s="13"/>
    </row>
    <row r="65" spans="1:2" ht="15.75" customHeight="1" x14ac:dyDescent="0.2">
      <c r="A65" s="13"/>
      <c r="B65" s="13"/>
    </row>
    <row r="66" spans="1:2" ht="15.75" customHeight="1" x14ac:dyDescent="0.2">
      <c r="A66" s="13"/>
      <c r="B66" s="13"/>
    </row>
    <row r="67" spans="1:2" ht="15.75" customHeight="1" x14ac:dyDescent="0.2">
      <c r="A67" s="13"/>
      <c r="B67" s="13"/>
    </row>
    <row r="68" spans="1:2" ht="15.75" customHeight="1" x14ac:dyDescent="0.2">
      <c r="A68" s="13"/>
      <c r="B68" s="13"/>
    </row>
    <row r="69" spans="1:2" ht="15.75" customHeight="1" x14ac:dyDescent="0.2">
      <c r="A69" s="13"/>
      <c r="B69" s="13"/>
    </row>
    <row r="70" spans="1:2" ht="15.75" customHeight="1" x14ac:dyDescent="0.2">
      <c r="A70" s="13"/>
      <c r="B70" s="13"/>
    </row>
    <row r="71" spans="1:2" ht="15.75" customHeight="1" x14ac:dyDescent="0.2"/>
    <row r="72" spans="1:2" ht="15.75" customHeight="1" x14ac:dyDescent="0.2"/>
    <row r="73" spans="1:2" ht="15.75" customHeight="1" x14ac:dyDescent="0.2"/>
    <row r="74" spans="1:2" ht="15.75" customHeight="1" x14ac:dyDescent="0.2"/>
    <row r="75" spans="1:2" ht="15.75" customHeight="1" x14ac:dyDescent="0.2"/>
    <row r="76" spans="1:2" ht="15.75" customHeight="1" x14ac:dyDescent="0.2"/>
    <row r="77" spans="1:2" ht="15.75" customHeight="1" x14ac:dyDescent="0.2"/>
    <row r="78" spans="1:2" ht="15.75" customHeight="1" x14ac:dyDescent="0.2"/>
    <row r="79" spans="1:2" ht="15.75" customHeight="1" x14ac:dyDescent="0.2"/>
    <row r="80" spans="1: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D2:D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{909BF2C3-4914-469F-BB2C-080975FBB88E}</x14:id>
        </ext>
      </extLst>
    </cfRule>
  </conditionalFormatting>
  <conditionalFormatting sqref="F1:F32">
    <cfRule type="cellIs" dxfId="0" priority="1" operator="equal">
      <formula>$F$5</formula>
    </cfRule>
  </conditionalFormatting>
  <dataValidations count="1">
    <dataValidation type="date" operator="equal" allowBlank="1" showInputMessage="1" showErrorMessage="1" sqref="G2" xr:uid="{E73E87DF-D4FD-4DDC-8675-826DB2DF02E9}">
      <formula1>G2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9BF2C3-4914-469F-BB2C-080975FBB8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Dataset</vt:lpstr>
      <vt:lpstr>Q1</vt:lpstr>
      <vt:lpstr>Q2</vt:lpstr>
      <vt:lpstr>Q3</vt:lpstr>
      <vt:lpstr>Q4</vt:lpstr>
      <vt:lpstr>Q5</vt:lpstr>
      <vt:lpstr>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Bidhin Lal</dc:creator>
  <cp:lastModifiedBy>Shyju P</cp:lastModifiedBy>
  <dcterms:created xsi:type="dcterms:W3CDTF">2026-10-12T14:50:25Z</dcterms:created>
  <dcterms:modified xsi:type="dcterms:W3CDTF">2026-10-13T13:10:19Z</dcterms:modified>
</cp:coreProperties>
</file>